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_rels/sheet1.xml.rels" ContentType="application/vnd.openxmlformats-package.relationships+xml"/>
  <Override PartName="/xl/worksheets/_rels/sheet2.xml.rels" ContentType="application/vnd.openxmlformats-package.relationships+xml"/>
  <Override PartName="/xl/worksheets/_rels/sheet3.xml.rels" ContentType="application/vnd.openxmlformats-package.relationship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Main" sheetId="1" state="visible" r:id="rId3"/>
    <sheet name="Main_3" sheetId="2" state="visible" r:id="rId4"/>
    <sheet name="Main_2" sheetId="3" state="visible" r:id="rId5"/>
  </sheets>
  <definedNames>
    <definedName function="false" hidden="true" localSheetId="0" name="_xlnm._FilterDatabase" vbProcedure="false">Main!$A$2:$Y$15</definedName>
    <definedName function="false" hidden="true" localSheetId="2" name="_xlnm._FilterDatabase" vbProcedure="false">Main_2!$A$2:$Y$11</definedName>
    <definedName function="false" hidden="true" localSheetId="1" name="_xlnm._FilterDatabase" vbProcedure="false">Main_3!$A$2:$Y$13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<sst xmlns="http://schemas.openxmlformats.org/spreadsheetml/2006/main" count="111" uniqueCount="42">
  <si>
    <t xml:space="preserve">max</t>
  </si>
  <si>
    <t xml:space="preserve">TRAINING_SESSION</t>
  </si>
  <si>
    <t xml:space="preserve">TIME [h]</t>
  </si>
  <si>
    <t xml:space="preserve">EPISODES</t>
  </si>
  <si>
    <t xml:space="preserve">Random</t>
  </si>
  <si>
    <t xml:space="preserve">Leftmost</t>
  </si>
  <si>
    <t xml:space="preserve">Center</t>
  </si>
  <si>
    <t xml:space="preserve">LA-1</t>
  </si>
  <si>
    <t xml:space="preserve">LA-2</t>
  </si>
  <si>
    <t xml:space="preserve">LA-3</t>
  </si>
  <si>
    <t xml:space="preserve">LA-4</t>
  </si>
  <si>
    <t xml:space="preserve">LA-5</t>
  </si>
  <si>
    <t xml:space="preserve">LA-6</t>
  </si>
  <si>
    <t xml:space="preserve">LA-7</t>
  </si>
  <si>
    <t xml:space="preserve">LA-9</t>
  </si>
  <si>
    <t xml:space="preserve">LA-11</t>
  </si>
  <si>
    <t xml:space="preserve">LA-13</t>
  </si>
  <si>
    <t xml:space="preserve">GS</t>
  </si>
  <si>
    <t xml:space="preserve">GS-open</t>
  </si>
  <si>
    <t xml:space="preserve">ELO</t>
  </si>
  <si>
    <t xml:space="preserve">WOW</t>
  </si>
  <si>
    <t xml:space="preserve">GS_AVG</t>
  </si>
  <si>
    <t xml:space="preserve">MUL</t>
  </si>
  <si>
    <t xml:space="preserve">Kaggle</t>
  </si>
  <si>
    <t xml:space="preserve">MUL-GS</t>
  </si>
  <si>
    <t xml:space="preserve">R</t>
  </si>
  <si>
    <t xml:space="preserve">PPO_832</t>
  </si>
  <si>
    <t xml:space="preserve">PPO_827</t>
  </si>
  <si>
    <t xml:space="preserve">PPO_836</t>
  </si>
  <si>
    <t xml:space="preserve">PPO_846</t>
  </si>
  <si>
    <t xml:space="preserve">PPO_820</t>
  </si>
  <si>
    <t xml:space="preserve">PPO_817</t>
  </si>
  <si>
    <t xml:space="preserve">PPO_838</t>
  </si>
  <si>
    <t xml:space="preserve">PPO_845</t>
  </si>
  <si>
    <t xml:space="preserve">PPO_834</t>
  </si>
  <si>
    <t xml:space="preserve">PPO_812</t>
  </si>
  <si>
    <t xml:space="preserve">PPO_842</t>
  </si>
  <si>
    <t xml:space="preserve">PPO_914</t>
  </si>
  <si>
    <t xml:space="preserve">PPO_909</t>
  </si>
  <si>
    <t xml:space="preserve">PPO_837</t>
  </si>
  <si>
    <t xml:space="preserve">PPO_831</t>
  </si>
  <si>
    <t xml:space="preserve">PPO_830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</si>
</sst>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0"/>
    <numFmt numFmtId="166" formatCode="0.000"/>
    <numFmt numFmtId="167" formatCode="0.0"/>
    <numFmt numFmtId="168" formatCode="0.00"/>
  </numFmts>
  <fonts count="7">
    <font>
      <sz val="11"/>
      <color theme="1"/>
      <name val="Calibri"/>
      <family val="2"/>
      <charset val="238"/>
    </font>
    <font>
      <sz val="10"/>
      <name val="Arial"/>
      <family val="0"/>
      <charset val="238"/>
    </font>
    <font>
      <sz val="10"/>
      <name val="Arial"/>
      <family val="0"/>
      <charset val="238"/>
    </font>
    <font>
      <sz val="10"/>
      <name val="Arial"/>
      <family val="0"/>
      <charset val="238"/>
    </font>
    <font>
      <b val="true"/>
      <sz val="8"/>
      <color theme="1"/>
      <name val="Calibri"/>
      <family val="2"/>
      <charset val="238"/>
    </font>
    <font>
      <b val="true"/>
      <sz val="6"/>
      <color theme="1"/>
      <name val="Calibri"/>
      <family val="2"/>
      <charset val="238"/>
    </font>
    <font>
      <b val="true"/>
      <sz val="11"/>
      <color theme="1"/>
      <name val="Calibri"/>
      <family val="2"/>
      <charset val="238"/>
    </font>
  </fonts>
  <fills count="13">
    <fill>
      <patternFill patternType="none"/>
    </fill>
    <fill>
      <patternFill patternType="gray125"/>
    </fill>
    <fill>
      <patternFill patternType="solid">
        <fgColor rgb="FFDEE6EF"/>
        <bgColor rgb="FFCCFFFF"/>
      </patternFill>
    </fill>
    <fill>
      <patternFill patternType="solid">
        <fgColor rgb="FF729FCF"/>
        <bgColor rgb="FF969696"/>
      </patternFill>
    </fill>
    <fill>
      <patternFill patternType="solid">
        <fgColor rgb="FF81D41A"/>
        <bgColor rgb="FF5EB91E"/>
      </patternFill>
    </fill>
    <fill>
      <patternFill patternType="solid">
        <fgColor rgb="FF5EB91E"/>
        <bgColor rgb="FF81D41A"/>
      </patternFill>
    </fill>
    <fill>
      <patternFill patternType="solid">
        <fgColor rgb="FF2A6099"/>
        <bgColor rgb="FF666699"/>
      </patternFill>
    </fill>
    <fill>
      <patternFill patternType="solid">
        <fgColor rgb="FFFFFF00"/>
        <bgColor rgb="FFFFFF00"/>
      </patternFill>
    </fill>
    <fill>
      <patternFill patternType="solid">
        <fgColor rgb="FFACB20C"/>
        <bgColor rgb="FF81D41A"/>
      </patternFill>
    </fill>
    <fill>
      <patternFill patternType="solid">
        <fgColor rgb="FFFF8000"/>
        <bgColor rgb="FFFF6600"/>
      </patternFill>
    </fill>
    <fill>
      <patternFill patternType="solid">
        <fgColor rgb="FF800080"/>
        <bgColor rgb="FF800080"/>
      </patternFill>
    </fill>
    <fill>
      <patternFill patternType="solid">
        <fgColor rgb="FFF7D1D5"/>
        <bgColor rgb="FFFFCCCC"/>
      </patternFill>
    </fill>
    <fill>
      <patternFill patternType="solid">
        <fgColor rgb="FFFFA6A6"/>
        <bgColor rgb="FFFF808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5" fontId="5" fillId="2" borderId="1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6" fontId="6" fillId="2" borderId="1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7" fontId="6" fillId="2" borderId="1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5" fontId="6" fillId="2" borderId="1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4" fontId="4" fillId="3" borderId="1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5" fontId="5" fillId="3" borderId="1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6" fontId="6" fillId="3" borderId="1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7" fontId="6" fillId="3" borderId="1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6" fontId="0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6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0" fillId="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0" fillId="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6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7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8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9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1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11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1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0">
    <dxf>
      <fill>
        <patternFill patternType="solid">
          <fgColor rgb="FF5EB91E"/>
          <bgColor rgb="FF000000"/>
        </patternFill>
      </fill>
    </dxf>
    <dxf>
      <fill>
        <patternFill patternType="solid">
          <fgColor rgb="FF729FCF"/>
          <bgColor rgb="FF000000"/>
        </patternFill>
      </fill>
    </dxf>
    <dxf>
      <fill>
        <patternFill patternType="solid">
          <fgColor rgb="FF800080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8000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CCFFCC"/>
          <bgColor rgb="FF000000"/>
        </patternFill>
      </fill>
    </dxf>
    <dxf>
      <fill>
        <patternFill patternType="solid">
          <fgColor rgb="FF006600"/>
          <bgColor rgb="FF000000"/>
        </patternFill>
      </fill>
    </dxf>
    <dxf>
      <fill>
        <patternFill patternType="solid">
          <fgColor rgb="FF81D41A"/>
          <bgColor rgb="FF000000"/>
        </patternFill>
      </fill>
    </dxf>
    <dxf>
      <fill>
        <patternFill patternType="solid">
          <fgColor rgb="FF2A6099"/>
          <bgColor rgb="FF000000"/>
        </patternFill>
      </fill>
    </dxf>
    <dxf>
      <fill>
        <patternFill patternType="solid">
          <fgColor rgb="FFACB20C"/>
          <bgColor rgb="FF000000"/>
        </patternFill>
      </fill>
    </dxf>
    <dxf>
      <font>
        <name val="Calibri"/>
        <charset val="238"/>
        <family val="2"/>
        <b val="1"/>
        <color rgb="FFFFFFFF"/>
        <sz val="11"/>
      </font>
      <fill>
        <patternFill>
          <bgColor rgb="FF000000"/>
        </patternFill>
      </fill>
    </dxf>
    <dxf>
      <font>
        <name val="Calibri"/>
        <charset val="238"/>
        <family val="2"/>
        <color rgb="FF006600"/>
        <sz val="11"/>
      </font>
      <fill>
        <patternFill>
          <bgColor rgb="FFCCFFCC"/>
        </patternFill>
      </fill>
    </dxf>
    <dxf>
      <font>
        <name val="Calibri"/>
        <charset val="238"/>
        <family val="2"/>
        <color rgb="FFCC0000"/>
        <sz val="11"/>
      </font>
      <fill>
        <patternFill>
          <bgColor rgb="FFFFCCCC"/>
        </patternFill>
      </fill>
    </dxf>
    <dxf>
      <font>
        <name val="Calibri"/>
        <charset val="238"/>
        <family val="2"/>
        <color rgb="FF006600"/>
        <sz val="11"/>
      </font>
      <fill>
        <patternFill>
          <bgColor rgb="FFCCFFCC"/>
        </patternFill>
      </fill>
    </dxf>
    <dxf>
      <font>
        <name val="Calibri"/>
        <charset val="238"/>
        <family val="2"/>
        <color rgb="FFCC0000"/>
        <sz val="11"/>
      </font>
      <fill>
        <patternFill>
          <bgColor rgb="FFFFCCCC"/>
        </patternFill>
      </fill>
    </dxf>
    <dxf>
      <font>
        <name val="Calibri"/>
        <charset val="238"/>
        <family val="2"/>
        <color rgb="FF006600"/>
        <sz val="11"/>
      </font>
      <fill>
        <patternFill>
          <bgColor rgb="FFCCFFCC"/>
        </patternFill>
      </fill>
    </dxf>
    <dxf>
      <fill>
        <patternFill patternType="solid">
          <fgColor rgb="FFF7D1D5"/>
          <bgColor rgb="FF000000"/>
        </patternFill>
      </fill>
    </dxf>
    <dxf>
      <fill>
        <patternFill patternType="solid">
          <fgColor rgb="FFFFA6A6"/>
          <bgColor rgb="FF000000"/>
        </patternFill>
      </fill>
    </dxf>
  </dxfs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00FFFF"/>
      <rgbColor rgb="FF800000"/>
      <rgbColor rgb="FF006600"/>
      <rgbColor rgb="FF000080"/>
      <rgbColor rgb="FFACB20C"/>
      <rgbColor rgb="FF800080"/>
      <rgbColor rgb="FF008080"/>
      <rgbColor rgb="FFC0C0C0"/>
      <rgbColor rgb="FF808080"/>
      <rgbColor rgb="FF729FCF"/>
      <rgbColor rgb="FF993366"/>
      <rgbColor rgb="FFFFFFCC"/>
      <rgbColor rgb="FFDEE6EF"/>
      <rgbColor rgb="FF660066"/>
      <rgbColor rgb="FFFF8080"/>
      <rgbColor rgb="FF2A6099"/>
      <rgbColor rgb="FFF7D1D5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A6A6"/>
      <rgbColor rgb="FFCC99FF"/>
      <rgbColor rgb="FFFFCCCC"/>
      <rgbColor rgb="FF3366FF"/>
      <rgbColor rgb="FF33CCCC"/>
      <rgbColor rgb="FF81D41A"/>
      <rgbColor rgb="FFFFCC00"/>
      <rgbColor rgb="FFFF8000"/>
      <rgbColor rgb="FFFF6600"/>
      <rgbColor rgb="FF666699"/>
      <rgbColor rgb="FF969696"/>
      <rgbColor rgb="FF003366"/>
      <rgbColor rgb="FF5EB91E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Y104857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B11" activeCellId="2" sqref="4:4 8:8 11:11"/>
    </sheetView>
  </sheetViews>
  <sheetFormatPr defaultColWidth="8.453125" defaultRowHeight="15" customHeight="true" zeroHeight="false" outlineLevelRow="0" outlineLevelCol="0"/>
  <cols>
    <col collapsed="false" customWidth="true" hidden="false" outlineLevel="0" max="1" min="1" style="1" width="17.47"/>
    <col collapsed="false" customWidth="true" hidden="false" outlineLevel="0" max="2" min="2" style="2" width="7.37"/>
    <col collapsed="false" customWidth="true" hidden="false" outlineLevel="0" max="3" min="3" style="1" width="7.91"/>
    <col collapsed="false" customWidth="true" hidden="false" outlineLevel="0" max="4" min="4" style="3" width="10.83"/>
    <col collapsed="false" customWidth="true" hidden="false" outlineLevel="0" max="5" min="5" style="4" width="10.57"/>
    <col collapsed="false" customWidth="true" hidden="false" outlineLevel="0" max="6" min="6" style="4" width="8.84"/>
    <col collapsed="false" customWidth="true" hidden="false" outlineLevel="0" max="7" min="7" style="4" width="7.82"/>
    <col collapsed="false" customWidth="true" hidden="false" outlineLevel="0" max="8" min="8" style="4" width="9.46"/>
    <col collapsed="false" customWidth="true" hidden="false" outlineLevel="0" max="9" min="9" style="4" width="8.19"/>
    <col collapsed="false" customWidth="true" hidden="false" outlineLevel="0" max="10" min="10" style="4" width="8.64"/>
    <col collapsed="false" customWidth="true" hidden="false" outlineLevel="0" max="11" min="11" style="4" width="7.73"/>
    <col collapsed="false" customWidth="true" hidden="false" outlineLevel="0" max="12" min="12" style="4" width="9.92"/>
    <col collapsed="false" customWidth="true" hidden="false" outlineLevel="0" max="13" min="13" style="4" width="9.46"/>
    <col collapsed="false" customWidth="true" hidden="false" outlineLevel="0" max="14" min="14" style="4" width="9.01"/>
    <col collapsed="false" customWidth="true" hidden="false" outlineLevel="0" max="15" min="15" style="4" width="9.64"/>
    <col collapsed="false" customWidth="true" hidden="false" outlineLevel="0" max="16" min="16" style="4" width="8.55"/>
    <col collapsed="false" customWidth="true" hidden="false" outlineLevel="0" max="17" min="17" style="3" width="10.83"/>
    <col collapsed="false" customWidth="true" hidden="false" outlineLevel="0" max="18" min="18" style="3" width="10.1"/>
    <col collapsed="false" customWidth="true" hidden="false" outlineLevel="0" max="19" min="19" style="2" width="8.37"/>
    <col collapsed="false" customWidth="true" hidden="false" outlineLevel="0" max="20" min="20" style="2" width="9.64"/>
    <col collapsed="false" customWidth="true" hidden="false" outlineLevel="0" max="21" min="21" style="5" width="12.92"/>
    <col collapsed="false" customWidth="true" hidden="false" outlineLevel="0" max="22" min="22" style="4" width="13.01"/>
    <col collapsed="false" customWidth="true" hidden="false" outlineLevel="0" max="23" min="23" style="2" width="10.73"/>
    <col collapsed="false" customWidth="true" hidden="false" outlineLevel="0" max="24" min="24" style="1" width="12.55"/>
    <col collapsed="false" customWidth="true" hidden="false" outlineLevel="0" max="25" min="25" style="3" width="11.83"/>
  </cols>
  <sheetData>
    <row r="1" customFormat="false" ht="15" hidden="false" customHeight="false" outlineLevel="0" collapsed="false">
      <c r="A1" s="6" t="s">
        <v>0</v>
      </c>
      <c r="B1" s="7"/>
      <c r="C1" s="7"/>
      <c r="D1" s="8" t="n">
        <f aca="false">MAX(D3:D6)</f>
        <v>1</v>
      </c>
      <c r="E1" s="8" t="n">
        <f aca="false">MAX(E3:E6)</f>
        <v>1</v>
      </c>
      <c r="F1" s="8" t="n">
        <f aca="false">MAX(F3:F6)</f>
        <v>1</v>
      </c>
      <c r="G1" s="8" t="n">
        <f aca="false">MAX(G3:G6)</f>
        <v>1</v>
      </c>
      <c r="H1" s="8" t="n">
        <f aca="false">MAX(H3:H6)</f>
        <v>1</v>
      </c>
      <c r="I1" s="8" t="n">
        <f aca="false">MAX(I3:I6)</f>
        <v>1</v>
      </c>
      <c r="J1" s="8" t="n">
        <f aca="false">MAX(J3:J6)</f>
        <v>1</v>
      </c>
      <c r="K1" s="8" t="n">
        <f aca="false">MAX(K3:K6)</f>
        <v>1</v>
      </c>
      <c r="L1" s="8" t="n">
        <f aca="false">MAX(L3:L6)</f>
        <v>1</v>
      </c>
      <c r="M1" s="8" t="n">
        <f aca="false">MAX(M3:M6)</f>
        <v>1</v>
      </c>
      <c r="N1" s="8" t="n">
        <f aca="false">MAX(N3:N6)</f>
        <v>1</v>
      </c>
      <c r="O1" s="8" t="n">
        <f aca="false">MAX(O3:O6)</f>
        <v>1</v>
      </c>
      <c r="P1" s="8" t="n">
        <f aca="false">MAX(P3:P6)</f>
        <v>1</v>
      </c>
      <c r="Q1" s="8" t="n">
        <f aca="false">MAX(Q3:Q6)</f>
        <v>0.977045820810297</v>
      </c>
      <c r="R1" s="8" t="n">
        <f aca="false">MAX(R3:R6)</f>
        <v>0.492</v>
      </c>
      <c r="S1" s="8" t="n">
        <f aca="false">MAX(S3:S6)</f>
        <v>1215.512154</v>
      </c>
      <c r="T1" s="8" t="n">
        <f aca="false">MAX(T3:T6)</f>
        <v>1182.87985676379</v>
      </c>
      <c r="U1" s="8" t="n">
        <f aca="false">MAX(U3:U6)</f>
        <v>0.7325767293528</v>
      </c>
      <c r="V1" s="9" t="n">
        <f aca="false">MAX(V3:V6)</f>
        <v>250</v>
      </c>
      <c r="W1" s="10" t="n">
        <f aca="false">MAX(W3:W6)</f>
        <v>576</v>
      </c>
      <c r="X1" s="10" t="n">
        <f aca="false">MAX(X3:X6)</f>
        <v>119.099386043685</v>
      </c>
      <c r="Y1" s="8" t="n">
        <f aca="false">MAX(Y3:Y6)</f>
        <v>0.505572883288535</v>
      </c>
    </row>
    <row r="2" customFormat="false" ht="15" hidden="false" customHeight="false" outlineLevel="0" collapsed="false">
      <c r="A2" s="11" t="s">
        <v>1</v>
      </c>
      <c r="B2" s="12" t="s">
        <v>2</v>
      </c>
      <c r="C2" s="12" t="s">
        <v>3</v>
      </c>
      <c r="D2" s="13" t="s">
        <v>4</v>
      </c>
      <c r="E2" s="14" t="s">
        <v>5</v>
      </c>
      <c r="F2" s="14" t="s">
        <v>6</v>
      </c>
      <c r="G2" s="14" t="s">
        <v>7</v>
      </c>
      <c r="H2" s="14" t="s">
        <v>8</v>
      </c>
      <c r="I2" s="14" t="s">
        <v>9</v>
      </c>
      <c r="J2" s="14" t="s">
        <v>10</v>
      </c>
      <c r="K2" s="14" t="s">
        <v>11</v>
      </c>
      <c r="L2" s="14" t="s">
        <v>12</v>
      </c>
      <c r="M2" s="14" t="s">
        <v>13</v>
      </c>
      <c r="N2" s="14" t="s">
        <v>14</v>
      </c>
      <c r="O2" s="14" t="s">
        <v>15</v>
      </c>
      <c r="P2" s="14" t="s">
        <v>16</v>
      </c>
      <c r="Q2" s="13" t="s">
        <v>17</v>
      </c>
      <c r="R2" s="15" t="s">
        <v>18</v>
      </c>
      <c r="S2" s="16" t="s">
        <v>19</v>
      </c>
      <c r="T2" s="16" t="s">
        <v>20</v>
      </c>
      <c r="U2" s="17" t="s">
        <v>21</v>
      </c>
      <c r="V2" s="18" t="s">
        <v>22</v>
      </c>
      <c r="W2" s="19" t="s">
        <v>23</v>
      </c>
      <c r="X2" s="20" t="s">
        <v>24</v>
      </c>
      <c r="Y2" s="21" t="s">
        <v>25</v>
      </c>
    </row>
    <row r="3" customFormat="false" ht="15" hidden="false" customHeight="true" outlineLevel="0" collapsed="false">
      <c r="A3" s="22" t="s">
        <v>26</v>
      </c>
      <c r="B3" s="23" t="n">
        <v>2</v>
      </c>
      <c r="C3" s="1" t="n">
        <v>0</v>
      </c>
      <c r="D3" s="3" t="n">
        <v>1</v>
      </c>
      <c r="E3" s="4" t="n">
        <v>1</v>
      </c>
      <c r="F3" s="4" t="n">
        <v>1</v>
      </c>
      <c r="G3" s="4" t="n">
        <v>1</v>
      </c>
      <c r="H3" s="4" t="n">
        <v>1</v>
      </c>
      <c r="I3" s="4" t="n">
        <v>0.5</v>
      </c>
      <c r="J3" s="4" t="n">
        <v>1</v>
      </c>
      <c r="K3" s="4" t="n">
        <v>0.5</v>
      </c>
      <c r="L3" s="4" t="n">
        <v>1</v>
      </c>
      <c r="M3" s="4" t="n">
        <v>1</v>
      </c>
      <c r="N3" s="4" t="n">
        <v>1</v>
      </c>
      <c r="O3" s="4" t="n">
        <v>1</v>
      </c>
      <c r="P3" s="4" t="n">
        <v>1</v>
      </c>
      <c r="Q3" s="3" t="n">
        <v>0.977045820810297</v>
      </c>
      <c r="R3" s="3" t="n">
        <v>0.347</v>
      </c>
      <c r="S3" s="2" t="n">
        <v>1108.235264</v>
      </c>
      <c r="T3" s="2" t="n">
        <f aca="false">Q3*S3</f>
        <v>1082.7966331658</v>
      </c>
      <c r="U3" s="5" t="n">
        <f aca="false">AVERAGE(Q3, R3)</f>
        <v>0.662022910405149</v>
      </c>
      <c r="V3" s="4" t="n">
        <f aca="false">D3*E3*F3*G3*H3*I3*J3*K3*L3*M3*N3*O3*P3*1000</f>
        <v>250</v>
      </c>
      <c r="W3" s="2" t="n">
        <v>548</v>
      </c>
      <c r="X3" s="4" t="n">
        <f aca="false">V3*Q3*R3</f>
        <v>84.7587249552933</v>
      </c>
      <c r="Y3" s="3" t="n">
        <f aca="false">R3/Q3</f>
        <v>0.355152227878342</v>
      </c>
    </row>
    <row r="4" customFormat="false" ht="15" hidden="false" customHeight="true" outlineLevel="0" collapsed="false">
      <c r="A4" s="22" t="s">
        <v>27</v>
      </c>
      <c r="B4" s="23" t="n">
        <v>2</v>
      </c>
      <c r="C4" s="1" t="n">
        <v>0</v>
      </c>
      <c r="D4" s="3" t="n">
        <v>0.995</v>
      </c>
      <c r="E4" s="4" t="n">
        <v>1</v>
      </c>
      <c r="F4" s="4" t="n">
        <v>1</v>
      </c>
      <c r="G4" s="4" t="n">
        <v>1</v>
      </c>
      <c r="H4" s="4" t="n">
        <v>0.5</v>
      </c>
      <c r="I4" s="4" t="n">
        <v>1</v>
      </c>
      <c r="J4" s="4" t="n">
        <v>1</v>
      </c>
      <c r="K4" s="4" t="n">
        <v>1</v>
      </c>
      <c r="L4" s="4" t="n">
        <v>0.5</v>
      </c>
      <c r="M4" s="4" t="n">
        <v>1</v>
      </c>
      <c r="N4" s="4" t="n">
        <v>1</v>
      </c>
      <c r="O4" s="4" t="n">
        <v>1</v>
      </c>
      <c r="P4" s="4" t="n">
        <v>1</v>
      </c>
      <c r="Q4" s="3" t="n">
        <v>0.9731534587056</v>
      </c>
      <c r="R4" s="3" t="n">
        <v>0.492</v>
      </c>
      <c r="S4" s="2" t="n">
        <v>1215.512154</v>
      </c>
      <c r="T4" s="2" t="n">
        <f aca="false">Q4*S4</f>
        <v>1182.87985676379</v>
      </c>
      <c r="U4" s="5" t="n">
        <f aca="false">AVERAGE(Q4, R4)</f>
        <v>0.7325767293528</v>
      </c>
      <c r="V4" s="4" t="n">
        <f aca="false">D4*E4*F4*G4*H4*I4*J4*K4*L4*M4*N4*O4*P4*1000</f>
        <v>248.75</v>
      </c>
      <c r="W4" s="2" t="n">
        <v>576</v>
      </c>
      <c r="X4" s="4" t="n">
        <f aca="false">V4*Q4*R4</f>
        <v>119.099386043685</v>
      </c>
      <c r="Y4" s="3" t="n">
        <f aca="false">R4/Q4</f>
        <v>0.505572883288535</v>
      </c>
    </row>
    <row r="5" customFormat="false" ht="15" hidden="false" customHeight="true" outlineLevel="0" collapsed="false">
      <c r="A5" s="20" t="s">
        <v>28</v>
      </c>
      <c r="B5" s="23" t="n">
        <v>2</v>
      </c>
      <c r="C5" s="1" t="n">
        <v>0</v>
      </c>
      <c r="D5" s="3" t="n">
        <v>1</v>
      </c>
      <c r="E5" s="4" t="n">
        <v>1</v>
      </c>
      <c r="F5" s="4" t="n">
        <v>1</v>
      </c>
      <c r="G5" s="4" t="n">
        <v>1</v>
      </c>
      <c r="H5" s="4" t="n">
        <v>1</v>
      </c>
      <c r="I5" s="4" t="n">
        <v>0.5</v>
      </c>
      <c r="J5" s="4" t="n">
        <v>1</v>
      </c>
      <c r="K5" s="4" t="n">
        <v>1</v>
      </c>
      <c r="L5" s="4" t="n">
        <v>0.5</v>
      </c>
      <c r="M5" s="4" t="n">
        <v>1</v>
      </c>
      <c r="N5" s="4" t="n">
        <v>1</v>
      </c>
      <c r="O5" s="4" t="n">
        <v>1</v>
      </c>
      <c r="P5" s="4" t="n">
        <v>1</v>
      </c>
      <c r="Q5" s="3" t="n">
        <v>0.970966065241133</v>
      </c>
      <c r="R5" s="3" t="n">
        <v>0.424</v>
      </c>
      <c r="S5" s="2" t="n">
        <v>1157.920275</v>
      </c>
      <c r="T5" s="2" t="n">
        <f aca="false">Q5*S5</f>
        <v>1124.30129327968</v>
      </c>
      <c r="U5" s="5" t="n">
        <f aca="false">AVERAGE(Q5, R5)</f>
        <v>0.697483032620567</v>
      </c>
      <c r="V5" s="4" t="n">
        <f aca="false">D5*E5*F5*G5*H5*I5*J5*K5*L5*M5*N5*O5*P5*1000</f>
        <v>250</v>
      </c>
      <c r="X5" s="4" t="n">
        <f aca="false">V5*Q5*R5</f>
        <v>102.92240291556</v>
      </c>
      <c r="Y5" s="3" t="n">
        <f aca="false">R5/Q5</f>
        <v>0.43667849493247</v>
      </c>
    </row>
    <row r="6" customFormat="false" ht="15" hidden="false" customHeight="true" outlineLevel="0" collapsed="false">
      <c r="A6" s="20" t="s">
        <v>29</v>
      </c>
      <c r="B6" s="2" t="n">
        <v>0.024125</v>
      </c>
      <c r="C6" s="1" t="n">
        <v>0</v>
      </c>
      <c r="D6" s="3" t="n">
        <v>1</v>
      </c>
      <c r="E6" s="4" t="n">
        <v>1</v>
      </c>
      <c r="F6" s="4" t="n">
        <v>1</v>
      </c>
      <c r="G6" s="4" t="n">
        <v>1</v>
      </c>
      <c r="H6" s="4" t="n">
        <v>1</v>
      </c>
      <c r="I6" s="4" t="n">
        <v>0.5</v>
      </c>
      <c r="J6" s="4" t="n">
        <v>1</v>
      </c>
      <c r="K6" s="4" t="n">
        <v>1</v>
      </c>
      <c r="L6" s="4" t="n">
        <v>0.5</v>
      </c>
      <c r="M6" s="4" t="n">
        <v>1</v>
      </c>
      <c r="N6" s="4" t="n">
        <v>1</v>
      </c>
      <c r="O6" s="4" t="n">
        <v>1</v>
      </c>
      <c r="P6" s="4" t="n">
        <v>1</v>
      </c>
      <c r="Q6" s="3" t="n">
        <v>0.970966065241133</v>
      </c>
      <c r="R6" s="3" t="n">
        <v>0.367</v>
      </c>
      <c r="S6" s="2" t="n">
        <v>1186.105517</v>
      </c>
      <c r="T6" s="2" t="n">
        <f aca="false">Q6*S6</f>
        <v>1151.66820680229</v>
      </c>
      <c r="U6" s="5" t="n">
        <f aca="false">AVERAGE(Q6, R6)</f>
        <v>0.668983032620567</v>
      </c>
      <c r="V6" s="4" t="n">
        <f aca="false">D6*E6*F6*G6*H6*I6*J6*K6*L6*M6*N6*O6*P6*1000</f>
        <v>250</v>
      </c>
      <c r="X6" s="4" t="n">
        <f aca="false">V6*Q6*R6</f>
        <v>89.086136485874</v>
      </c>
      <c r="Y6" s="3" t="n">
        <f aca="false">R6/Q6</f>
        <v>0.377974074623152</v>
      </c>
    </row>
    <row r="7" customFormat="false" ht="15" hidden="false" customHeight="true" outlineLevel="0" collapsed="false">
      <c r="A7" s="22" t="s">
        <v>30</v>
      </c>
      <c r="B7" s="23" t="n">
        <v>5</v>
      </c>
      <c r="C7" s="1" t="n">
        <v>0</v>
      </c>
      <c r="D7" s="3" t="n">
        <v>0.995</v>
      </c>
      <c r="E7" s="4" t="n">
        <v>1</v>
      </c>
      <c r="F7" s="4" t="n">
        <v>1</v>
      </c>
      <c r="G7" s="4" t="n">
        <v>1</v>
      </c>
      <c r="H7" s="4" t="n">
        <v>1</v>
      </c>
      <c r="I7" s="4" t="n">
        <v>0.5</v>
      </c>
      <c r="J7" s="4" t="n">
        <v>1</v>
      </c>
      <c r="K7" s="4" t="n">
        <v>1</v>
      </c>
      <c r="L7" s="4" t="n">
        <v>0.5</v>
      </c>
      <c r="M7" s="4" t="n">
        <v>1</v>
      </c>
      <c r="N7" s="4" t="n">
        <v>1</v>
      </c>
      <c r="O7" s="4" t="n">
        <v>1</v>
      </c>
      <c r="P7" s="4" t="n">
        <v>1</v>
      </c>
      <c r="Q7" s="3" t="n">
        <v>0.970937804343659</v>
      </c>
      <c r="R7" s="3" t="n">
        <v>0.472</v>
      </c>
      <c r="S7" s="2" t="n">
        <v>1251.935991</v>
      </c>
      <c r="T7" s="2" t="n">
        <f aca="false">Q7*S7</f>
        <v>1215.55198228034</v>
      </c>
      <c r="U7" s="5" t="n">
        <f aca="false">AVERAGE(Q7, R7)</f>
        <v>0.72146890217183</v>
      </c>
      <c r="V7" s="4" t="n">
        <f aca="false">D7*E7*F7*G7*H7*I7*J7*K7*L7*M7*N7*O7*P7*1000</f>
        <v>248.75</v>
      </c>
      <c r="W7" s="2" t="n">
        <v>695</v>
      </c>
      <c r="X7" s="4" t="n">
        <f aca="false">V7*Q7*R7</f>
        <v>113.997807607989</v>
      </c>
      <c r="Y7" s="3" t="n">
        <f aca="false">R7/Q7</f>
        <v>0.486127945465122</v>
      </c>
    </row>
    <row r="8" customFormat="false" ht="15" hidden="false" customHeight="true" outlineLevel="0" collapsed="false">
      <c r="A8" s="22" t="s">
        <v>31</v>
      </c>
      <c r="B8" s="23" t="n">
        <v>6</v>
      </c>
      <c r="C8" s="1" t="n">
        <v>0</v>
      </c>
      <c r="D8" s="3" t="n">
        <v>0.995</v>
      </c>
      <c r="E8" s="4" t="n">
        <v>1</v>
      </c>
      <c r="F8" s="4" t="n">
        <v>1</v>
      </c>
      <c r="G8" s="4" t="n">
        <v>1</v>
      </c>
      <c r="H8" s="4" t="n">
        <v>1</v>
      </c>
      <c r="I8" s="4" t="n">
        <v>0.5</v>
      </c>
      <c r="J8" s="4" t="n">
        <v>1</v>
      </c>
      <c r="K8" s="4" t="n">
        <v>1</v>
      </c>
      <c r="L8" s="4" t="n">
        <v>0.5</v>
      </c>
      <c r="M8" s="4" t="n">
        <v>1</v>
      </c>
      <c r="N8" s="4" t="n">
        <v>1</v>
      </c>
      <c r="O8" s="4" t="n">
        <v>1</v>
      </c>
      <c r="P8" s="4" t="n">
        <v>1</v>
      </c>
      <c r="Q8" s="3" t="n">
        <v>0.970937804343659</v>
      </c>
      <c r="R8" s="3" t="n">
        <v>0.485</v>
      </c>
      <c r="S8" s="2" t="n">
        <v>1261.965089</v>
      </c>
      <c r="T8" s="2" t="n">
        <f aca="false">Q8*S8</f>
        <v>1225.28961267201</v>
      </c>
      <c r="U8" s="5" t="n">
        <f aca="false">AVERAGE(Q8, R8)</f>
        <v>0.727968902171829</v>
      </c>
      <c r="V8" s="4" t="n">
        <f aca="false">D8*E8*F8*G8*H8*I8*J8*K8*L8*M8*N8*O8*P8*1000</f>
        <v>248.75</v>
      </c>
      <c r="W8" s="2" t="n">
        <v>511</v>
      </c>
      <c r="X8" s="4" t="n">
        <f aca="false">V8*Q8*R8</f>
        <v>117.137577732785</v>
      </c>
      <c r="Y8" s="3" t="n">
        <f aca="false">R8/Q8</f>
        <v>0.49951706260717</v>
      </c>
    </row>
    <row r="9" customFormat="false" ht="15" hidden="false" customHeight="true" outlineLevel="0" collapsed="false">
      <c r="A9" s="20" t="s">
        <v>32</v>
      </c>
      <c r="B9" s="23" t="n">
        <v>1</v>
      </c>
      <c r="C9" s="1" t="n">
        <v>0</v>
      </c>
      <c r="D9" s="3" t="n">
        <v>0.995</v>
      </c>
      <c r="E9" s="4" t="n">
        <v>1</v>
      </c>
      <c r="F9" s="4" t="n">
        <v>1</v>
      </c>
      <c r="G9" s="4" t="n">
        <v>1</v>
      </c>
      <c r="H9" s="4" t="n">
        <v>1</v>
      </c>
      <c r="I9" s="4" t="n">
        <v>0.5</v>
      </c>
      <c r="J9" s="4" t="n">
        <v>1</v>
      </c>
      <c r="K9" s="4" t="n">
        <v>1</v>
      </c>
      <c r="L9" s="4" t="n">
        <v>0.5</v>
      </c>
      <c r="M9" s="4" t="n">
        <v>1</v>
      </c>
      <c r="N9" s="4" t="n">
        <v>1</v>
      </c>
      <c r="O9" s="4" t="n">
        <v>1</v>
      </c>
      <c r="P9" s="4" t="n">
        <v>1</v>
      </c>
      <c r="Q9" s="3" t="n">
        <v>0.970937804343659</v>
      </c>
      <c r="R9" s="3" t="n">
        <v>0.39</v>
      </c>
      <c r="S9" s="2" t="n">
        <v>1178.042593</v>
      </c>
      <c r="T9" s="2" t="n">
        <f aca="false">Q9*S9</f>
        <v>1143.80608867073</v>
      </c>
      <c r="U9" s="5" t="n">
        <f aca="false">AVERAGE(Q9, R9)</f>
        <v>0.68046890217183</v>
      </c>
      <c r="V9" s="4" t="n">
        <f aca="false">D9*E9*F9*G9*H9*I9*J9*K9*L9*M9*N9*O9*P9*1000</f>
        <v>248.75</v>
      </c>
      <c r="X9" s="4" t="n">
        <f aca="false">V9*Q9*R9</f>
        <v>94.1931037438892</v>
      </c>
      <c r="Y9" s="3" t="n">
        <f aca="false">R9/Q9</f>
        <v>0.401673514261436</v>
      </c>
    </row>
    <row r="10" customFormat="false" ht="15" hidden="false" customHeight="true" outlineLevel="0" collapsed="false">
      <c r="A10" s="20" t="s">
        <v>33</v>
      </c>
      <c r="B10" s="23" t="n">
        <v>1</v>
      </c>
      <c r="C10" s="1" t="n">
        <v>0</v>
      </c>
      <c r="D10" s="3" t="n">
        <v>0.995</v>
      </c>
      <c r="E10" s="4" t="n">
        <v>1</v>
      </c>
      <c r="F10" s="4" t="n">
        <v>1</v>
      </c>
      <c r="G10" s="4" t="n">
        <v>1</v>
      </c>
      <c r="H10" s="4" t="n">
        <v>1</v>
      </c>
      <c r="I10" s="4" t="n">
        <v>0.5</v>
      </c>
      <c r="J10" s="4" t="n">
        <v>1</v>
      </c>
      <c r="K10" s="4" t="n">
        <v>1</v>
      </c>
      <c r="L10" s="4" t="n">
        <v>0.5</v>
      </c>
      <c r="M10" s="4" t="n">
        <v>1</v>
      </c>
      <c r="N10" s="4" t="n">
        <v>1</v>
      </c>
      <c r="O10" s="4" t="n">
        <v>1</v>
      </c>
      <c r="P10" s="4" t="n">
        <v>1</v>
      </c>
      <c r="Q10" s="3" t="n">
        <v>0.970937804343659</v>
      </c>
      <c r="R10" s="24" t="n">
        <v>0.391</v>
      </c>
      <c r="S10" s="2" t="n">
        <v>1125.715958</v>
      </c>
      <c r="T10" s="2" t="n">
        <f aca="false">Q10*S10</f>
        <v>1093.00018057514</v>
      </c>
      <c r="U10" s="5" t="n">
        <f aca="false">AVERAGE(Q10, R10)</f>
        <v>0.68096890217183</v>
      </c>
      <c r="V10" s="4" t="n">
        <f aca="false">D10*E10*F10*G10*H10*I10*J10*K10*L10*M10*N10*O10*P10*1000</f>
        <v>248.75</v>
      </c>
      <c r="X10" s="4" t="n">
        <f aca="false">V10*Q10*R10</f>
        <v>94.4346245227197</v>
      </c>
      <c r="Y10" s="3" t="n">
        <f aca="false">R10/Q10</f>
        <v>0.402703446349286</v>
      </c>
    </row>
    <row r="11" customFormat="false" ht="15" hidden="false" customHeight="true" outlineLevel="0" collapsed="false">
      <c r="A11" s="20" t="s">
        <v>34</v>
      </c>
      <c r="B11" s="2" t="n">
        <v>0.024093</v>
      </c>
      <c r="C11" s="1" t="n">
        <v>0</v>
      </c>
      <c r="D11" s="3" t="n">
        <v>0.99</v>
      </c>
      <c r="E11" s="4" t="n">
        <v>1</v>
      </c>
      <c r="F11" s="4" t="n">
        <v>1</v>
      </c>
      <c r="G11" s="4" t="n">
        <v>1</v>
      </c>
      <c r="H11" s="4" t="n">
        <v>1</v>
      </c>
      <c r="I11" s="4" t="n">
        <v>0.5</v>
      </c>
      <c r="J11" s="4" t="n">
        <v>1</v>
      </c>
      <c r="K11" s="4" t="n">
        <v>1</v>
      </c>
      <c r="L11" s="4" t="n">
        <v>0.5</v>
      </c>
      <c r="M11" s="4" t="n">
        <v>1</v>
      </c>
      <c r="N11" s="4" t="n">
        <v>1</v>
      </c>
      <c r="O11" s="4" t="n">
        <v>1</v>
      </c>
      <c r="P11" s="4" t="n">
        <v>1</v>
      </c>
      <c r="Q11" s="3" t="n">
        <v>0.970909543446185</v>
      </c>
      <c r="R11" s="3" t="n">
        <v>0.47</v>
      </c>
      <c r="S11" s="2" t="n">
        <v>1219.984617</v>
      </c>
      <c r="T11" s="2" t="n">
        <f aca="false">Q11*S11</f>
        <v>1184.49470750284</v>
      </c>
      <c r="U11" s="5" t="n">
        <f aca="false">AVERAGE(Q11, R11)</f>
        <v>0.720454771723093</v>
      </c>
      <c r="V11" s="4" t="n">
        <f aca="false">D11*E11*F11*G11*H11*I11*J11*K11*L11*M11*N11*O11*P11*1000</f>
        <v>247.5</v>
      </c>
      <c r="X11" s="4" t="n">
        <f aca="false">V11*Q11*R11</f>
        <v>112.941052641377</v>
      </c>
      <c r="Y11" s="3" t="n">
        <f aca="false">R11/Q11</f>
        <v>0.484082171374857</v>
      </c>
    </row>
    <row r="12" customFormat="false" ht="15" hidden="false" customHeight="true" outlineLevel="0" collapsed="false">
      <c r="A12" s="20" t="s">
        <v>35</v>
      </c>
      <c r="B12" s="2" t="n">
        <v>3</v>
      </c>
      <c r="C12" s="1" t="n">
        <v>0</v>
      </c>
      <c r="D12" s="3" t="n">
        <v>0.995</v>
      </c>
      <c r="E12" s="4" t="n">
        <v>1</v>
      </c>
      <c r="F12" s="4" t="n">
        <v>1</v>
      </c>
      <c r="G12" s="4" t="n">
        <v>0.5</v>
      </c>
      <c r="H12" s="4" t="n">
        <v>1</v>
      </c>
      <c r="I12" s="4" t="n">
        <v>0.5</v>
      </c>
      <c r="J12" s="4" t="n">
        <v>1</v>
      </c>
      <c r="K12" s="4" t="n">
        <v>1</v>
      </c>
      <c r="L12" s="4" t="n">
        <v>0.5</v>
      </c>
      <c r="M12" s="4" t="n">
        <v>1</v>
      </c>
      <c r="N12" s="4" t="n">
        <v>1</v>
      </c>
      <c r="O12" s="4" t="n">
        <v>1</v>
      </c>
      <c r="P12" s="4" t="n">
        <v>1</v>
      </c>
      <c r="Q12" s="3" t="n">
        <v>0.966981278697337</v>
      </c>
      <c r="R12" s="3" t="n">
        <v>0.331</v>
      </c>
      <c r="S12" s="2" t="n">
        <v>1143.593</v>
      </c>
      <c r="T12" s="2" t="n">
        <f aca="false">Q12*S12</f>
        <v>1105.83302144932</v>
      </c>
      <c r="U12" s="5" t="n">
        <f aca="false">AVERAGE(Q12, R12)</f>
        <v>0.648990639348669</v>
      </c>
      <c r="V12" s="4" t="n">
        <f aca="false">D12*E12*F12*G12*H12*I12*J12*K12*L12*M12*N12*O12*P12*1000</f>
        <v>124.375</v>
      </c>
      <c r="W12" s="2" t="n">
        <v>625</v>
      </c>
      <c r="X12" s="4" t="n">
        <f aca="false">V12*Q12*R12</f>
        <v>39.8088061540718</v>
      </c>
      <c r="Y12" s="3" t="n">
        <f aca="false">R12/Q12</f>
        <v>0.342302387121605</v>
      </c>
    </row>
    <row r="13" customFormat="false" ht="15" hidden="false" customHeight="true" outlineLevel="0" collapsed="false">
      <c r="A13" s="20" t="s">
        <v>36</v>
      </c>
      <c r="B13" s="2" t="n">
        <v>0.024172</v>
      </c>
      <c r="C13" s="1" t="n">
        <v>0</v>
      </c>
      <c r="D13" s="3" t="n">
        <v>0.99</v>
      </c>
      <c r="E13" s="4" t="n">
        <v>1</v>
      </c>
      <c r="F13" s="4" t="n">
        <v>1</v>
      </c>
      <c r="G13" s="4" t="n">
        <v>1</v>
      </c>
      <c r="H13" s="4" t="n">
        <v>1</v>
      </c>
      <c r="I13" s="4" t="n">
        <v>0.5</v>
      </c>
      <c r="J13" s="4" t="n">
        <v>1</v>
      </c>
      <c r="K13" s="4" t="n">
        <v>0.5</v>
      </c>
      <c r="L13" s="4" t="n">
        <v>0.5</v>
      </c>
      <c r="M13" s="4" t="n">
        <v>0.5</v>
      </c>
      <c r="N13" s="4" t="n">
        <v>1</v>
      </c>
      <c r="O13" s="4" t="n">
        <v>1</v>
      </c>
      <c r="P13" s="4" t="n">
        <v>1</v>
      </c>
      <c r="Q13" s="3" t="n">
        <v>0.925919352234368</v>
      </c>
      <c r="R13" s="3" t="n">
        <v>0.424</v>
      </c>
      <c r="S13" s="2" t="n">
        <v>1111.470511</v>
      </c>
      <c r="T13" s="2" t="n">
        <f aca="false">Q13*S13</f>
        <v>1029.13205557272</v>
      </c>
      <c r="U13" s="5" t="n">
        <f aca="false">AVERAGE(Q13, R13)</f>
        <v>0.674959676117184</v>
      </c>
      <c r="V13" s="4" t="n">
        <f aca="false">D13*E13*F13*G13*H13*I13*J13*K13*L13*M13*N13*O13*P13*1000</f>
        <v>61.875</v>
      </c>
      <c r="X13" s="4" t="n">
        <f aca="false">V13*Q13*R13</f>
        <v>24.2914942058686</v>
      </c>
      <c r="Y13" s="3" t="n">
        <f aca="false">R13/Q13</f>
        <v>0.457923251065906</v>
      </c>
    </row>
    <row r="14" customFormat="false" ht="15" hidden="false" customHeight="true" outlineLevel="0" collapsed="false">
      <c r="A14" s="20" t="s">
        <v>37</v>
      </c>
      <c r="B14" s="2" t="n">
        <v>0.023905</v>
      </c>
      <c r="C14" s="1" t="n">
        <v>0</v>
      </c>
      <c r="D14" s="3" t="n">
        <v>1</v>
      </c>
      <c r="E14" s="4" t="n">
        <v>1</v>
      </c>
      <c r="F14" s="4" t="n">
        <v>1</v>
      </c>
      <c r="G14" s="4" t="n">
        <v>0.5</v>
      </c>
      <c r="H14" s="4" t="n">
        <v>1</v>
      </c>
      <c r="I14" s="4" t="n">
        <v>1</v>
      </c>
      <c r="J14" s="4" t="n">
        <v>1</v>
      </c>
      <c r="K14" s="4" t="n">
        <v>1</v>
      </c>
      <c r="L14" s="4" t="n">
        <v>1</v>
      </c>
      <c r="M14" s="4" t="n">
        <v>1</v>
      </c>
      <c r="N14" s="4" t="n">
        <v>0.5</v>
      </c>
      <c r="O14" s="4" t="n">
        <v>1</v>
      </c>
      <c r="P14" s="4" t="n">
        <v>0.5</v>
      </c>
      <c r="Q14" s="3" t="n">
        <v>0.713342583564223</v>
      </c>
      <c r="R14" s="3" t="n">
        <v>0.264</v>
      </c>
      <c r="S14" s="2" t="n">
        <v>1104.547427</v>
      </c>
      <c r="T14" s="2" t="n">
        <f aca="false">Q14*S14</f>
        <v>787.920715245395</v>
      </c>
      <c r="U14" s="5" t="n">
        <f aca="false">AVERAGE(Q14, R14)</f>
        <v>0.488671291782112</v>
      </c>
      <c r="V14" s="4" t="n">
        <f aca="false">D14*E14*F14*G14*H14*I14*J14*K14*L14*M14*N14*O14*P14*1000</f>
        <v>125</v>
      </c>
      <c r="W14" s="2" t="n">
        <v>478</v>
      </c>
      <c r="X14" s="4" t="n">
        <f aca="false">V14*Q14*R14</f>
        <v>23.5403052576194</v>
      </c>
      <c r="Y14" s="3" t="n">
        <f aca="false">R14/Q14</f>
        <v>0.370088658777276</v>
      </c>
    </row>
    <row r="15" customFormat="false" ht="15" hidden="false" customHeight="true" outlineLevel="0" collapsed="false">
      <c r="A15" s="25" t="s">
        <v>38</v>
      </c>
      <c r="B15" s="2" t="n">
        <v>2</v>
      </c>
      <c r="C15" s="1" t="n">
        <v>0</v>
      </c>
      <c r="D15" s="3" t="n">
        <v>0.995</v>
      </c>
      <c r="E15" s="4" t="n">
        <v>1</v>
      </c>
      <c r="F15" s="4" t="n">
        <v>1</v>
      </c>
      <c r="G15" s="4" t="n">
        <v>1</v>
      </c>
      <c r="H15" s="4" t="n">
        <v>0.5</v>
      </c>
      <c r="I15" s="4" t="n">
        <v>1</v>
      </c>
      <c r="J15" s="4" t="n">
        <v>1</v>
      </c>
      <c r="K15" s="4" t="n">
        <v>0.5</v>
      </c>
      <c r="L15" s="4" t="n">
        <v>1</v>
      </c>
      <c r="M15" s="4" t="n">
        <v>1</v>
      </c>
      <c r="N15" s="4" t="n">
        <v>0.5</v>
      </c>
      <c r="O15" s="4" t="n">
        <v>1</v>
      </c>
      <c r="P15" s="4" t="n">
        <v>0.5</v>
      </c>
      <c r="Q15" s="3" t="n">
        <v>0.696532323485309</v>
      </c>
      <c r="R15" s="3" t="n">
        <v>0.251</v>
      </c>
      <c r="S15" s="2" t="n">
        <v>1143.952637</v>
      </c>
      <c r="T15" s="2" t="n">
        <f aca="false">Q15*S15</f>
        <v>796.799988206756</v>
      </c>
      <c r="U15" s="5" t="n">
        <f aca="false">AVERAGE(Q15, R15)</f>
        <v>0.473766161742655</v>
      </c>
      <c r="V15" s="4" t="n">
        <f aca="false">D15*E15*F15*G15*H15*I15*J15*K15*L15*M15*N15*O15*P15*1000</f>
        <v>62.1875</v>
      </c>
      <c r="W15" s="2" t="n">
        <v>554</v>
      </c>
      <c r="X15" s="4" t="n">
        <f aca="false">V15*Q15*R15</f>
        <v>10.8722165705524</v>
      </c>
      <c r="Y15" s="3" t="n">
        <f aca="false">R15/Q15</f>
        <v>0.360356571456793</v>
      </c>
    </row>
    <row r="1048532" customFormat="false" ht="13.8" hidden="false" customHeight="false" outlineLevel="0" collapsed="false"/>
    <row r="1048533" customFormat="false" ht="13.8" hidden="false" customHeight="false" outlineLevel="0" collapsed="false"/>
    <row r="1048534" customFormat="false" ht="13.8" hidden="false" customHeight="false" outlineLevel="0" collapsed="false"/>
    <row r="1048535" customFormat="false" ht="13.8" hidden="false" customHeight="false" outlineLevel="0" collapsed="false"/>
    <row r="1048536" customFormat="false" ht="13.8" hidden="false" customHeight="false" outlineLevel="0" collapsed="false"/>
    <row r="1048537" customFormat="false" ht="13.8" hidden="false" customHeight="false" outlineLevel="0" collapsed="false"/>
    <row r="1048538" customFormat="false" ht="13.8" hidden="false" customHeight="false" outlineLevel="0" collapsed="false"/>
    <row r="1048539" customFormat="false" ht="13.8" hidden="false" customHeight="false" outlineLevel="0" collapsed="false"/>
    <row r="1048540" customFormat="false" ht="13.8" hidden="false" customHeight="false" outlineLevel="0" collapsed="false"/>
    <row r="1048541" customFormat="false" ht="13.8" hidden="false" customHeight="false" outlineLevel="0" collapsed="false"/>
    <row r="1048542" customFormat="false" ht="13.8" hidden="false" customHeight="false" outlineLevel="0" collapsed="false"/>
    <row r="1048543" customFormat="false" ht="13.8" hidden="false" customHeight="false" outlineLevel="0" collapsed="false"/>
    <row r="1048544" customFormat="false" ht="13.8" hidden="false" customHeight="false" outlineLevel="0" collapsed="false"/>
    <row r="1048545" customFormat="false" ht="13.8" hidden="false" customHeight="false" outlineLevel="0" collapsed="false"/>
    <row r="1048546" customFormat="false" ht="13.8" hidden="false" customHeight="false" outlineLevel="0" collapsed="false"/>
    <row r="1048547" customFormat="false" ht="13.8" hidden="false" customHeight="false" outlineLevel="0" collapsed="false"/>
    <row r="1048548" customFormat="false" ht="13.8" hidden="false" customHeight="false" outlineLevel="0" collapsed="false"/>
    <row r="1048549" customFormat="false" ht="13.8" hidden="false" customHeight="false" outlineLevel="0" collapsed="false"/>
    <row r="1048550" customFormat="false" ht="13.8" hidden="false" customHeight="false" outlineLevel="0" collapsed="false"/>
    <row r="1048551" customFormat="false" ht="13.8" hidden="false" customHeight="false" outlineLevel="0" collapsed="false"/>
    <row r="1048552" customFormat="false" ht="13.8" hidden="false" customHeight="false" outlineLevel="0" collapsed="false"/>
    <row r="1048553" customFormat="false" ht="13.8" hidden="false" customHeight="false" outlineLevel="0" collapsed="false"/>
    <row r="1048554" customFormat="false" ht="13.8" hidden="false" customHeight="false" outlineLevel="0" collapsed="false"/>
    <row r="1048555" customFormat="false" ht="13.8" hidden="false" customHeight="false" outlineLevel="0" collapsed="false"/>
    <row r="1048556" customFormat="false" ht="13.8" hidden="false" customHeight="false" outlineLevel="0" collapsed="false"/>
    <row r="1048557" customFormat="false" ht="13.8" hidden="false" customHeight="false" outlineLevel="0" collapsed="false"/>
    <row r="1048558" customFormat="false" ht="13.8" hidden="false" customHeight="false" outlineLevel="0" collapsed="false"/>
    <row r="1048559" customFormat="false" ht="13.8" hidden="false" customHeight="false" outlineLevel="0" collapsed="false"/>
    <row r="1048560" customFormat="false" ht="13.8" hidden="false" customHeight="false" outlineLevel="0" collapsed="false"/>
    <row r="1048561" customFormat="false" ht="13.8" hidden="false" customHeight="false" outlineLevel="0" collapsed="false"/>
    <row r="1048562" customFormat="false" ht="13.8" hidden="false" customHeight="false" outlineLevel="0" collapsed="false"/>
    <row r="1048563" customFormat="false" ht="13.8" hidden="false" customHeight="false" outlineLevel="0" collapsed="false"/>
    <row r="1048564" customFormat="false" ht="13.8" hidden="false" customHeight="false" outlineLevel="0" collapsed="false"/>
    <row r="1048565" customFormat="false" ht="13.8" hidden="false" customHeight="false" outlineLevel="0" collapsed="false"/>
    <row r="1048566" customFormat="false" ht="13.8" hidden="false" customHeight="false" outlineLevel="0" collapsed="false"/>
    <row r="1048567" customFormat="false" ht="13.8" hidden="false" customHeight="false" outlineLevel="0" collapsed="false"/>
    <row r="1048568" customFormat="false" ht="13.8" hidden="false" customHeight="false" outlineLevel="0" collapsed="false"/>
    <row r="1048569" customFormat="false" ht="13.8" hidden="false" customHeight="false" outlineLevel="0" collapsed="false"/>
    <row r="1048570" customFormat="false" ht="13.8" hidden="false" customHeight="false" outlineLevel="0" collapsed="false"/>
    <row r="1048571" customFormat="false" ht="13.8" hidden="false" customHeight="false" outlineLevel="0" collapsed="false"/>
    <row r="1048572" customFormat="false" ht="12.8" hidden="false" customHeight="fals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autoFilter ref="A2:Y15"/>
  <conditionalFormatting sqref="G1">
    <cfRule type="cellIs" priority="2" operator="lessThan" aboveAverage="0" equalAverage="0" bottom="0" percent="0" rank="0" text="" dxfId="12">
      <formula>1</formula>
    </cfRule>
  </conditionalFormatting>
  <conditionalFormatting sqref="E3:P32">
    <cfRule type="cellIs" priority="3" operator="equal" aboveAverage="0" equalAverage="0" bottom="0" percent="0" rank="0" text="" dxfId="13">
      <formula>1</formula>
    </cfRule>
  </conditionalFormatting>
  <conditionalFormatting sqref="S14:S1048576 S1:S12">
    <cfRule type="cellIs" priority="4" operator="greaterThan" aboveAverage="0" equalAverage="0" bottom="0" percent="0" rank="0" text="" dxfId="13">
      <formula>1100</formula>
    </cfRule>
  </conditionalFormatting>
  <conditionalFormatting sqref="E1:P1048576">
    <cfRule type="cellIs" priority="5" operator="lessThan" aboveAverage="0" equalAverage="0" bottom="0" percent="0" rank="0" text="" dxfId="14">
      <formula>0.5</formula>
    </cfRule>
  </conditionalFormatting>
  <conditionalFormatting sqref="T1:T1048576">
    <cfRule type="cellIs" priority="6" operator="greaterThan" aboveAverage="0" equalAverage="0" bottom="0" percent="0" rank="0" text="" dxfId="15">
      <formula>800</formula>
    </cfRule>
  </conditionalFormatting>
  <conditionalFormatting sqref="Q1:Q1048576 T7:T11">
    <cfRule type="cellIs" priority="7" operator="greaterThan" aboveAverage="0" equalAverage="0" bottom="0" percent="0" rank="0" text="" dxfId="15">
      <formula>0.75</formula>
    </cfRule>
    <cfRule type="cellIs" priority="8" operator="lessThan" aboveAverage="0" equalAverage="0" bottom="0" percent="0" rank="0" text="" dxfId="16">
      <formula>0.6</formula>
    </cfRule>
  </conditionalFormatting>
  <conditionalFormatting sqref="X1:Y1 W1:W1048576">
    <cfRule type="cellIs" priority="9" operator="greaterThan" aboveAverage="0" equalAverage="0" bottom="0" percent="0" rank="0" text="" dxfId="15">
      <formula>600</formula>
    </cfRule>
  </conditionalFormatting>
  <conditionalFormatting sqref="U1:U1048576">
    <cfRule type="cellIs" priority="10" operator="greaterThan" aboveAverage="0" equalAverage="0" bottom="0" percent="0" rank="0" text="" dxfId="15">
      <formula>0.55</formula>
    </cfRule>
  </conditionalFormatting>
  <conditionalFormatting sqref="U7:U11 V1:V1048576">
    <cfRule type="cellIs" priority="11" operator="greaterThan" aboveAverage="0" equalAverage="0" bottom="0" percent="0" rank="0" text="" dxfId="15">
      <formula>0</formula>
    </cfRule>
  </conditionalFormatting>
  <conditionalFormatting sqref="R15:R1048576 R1:R13 V7:V11">
    <cfRule type="cellIs" priority="12" operator="greaterThan" aboveAverage="0" equalAverage="0" bottom="0" percent="0" rank="0" text="" dxfId="17">
      <formula>0.45</formula>
    </cfRule>
  </conditionalFormatting>
  <conditionalFormatting sqref="Y1 X1:X1048576">
    <cfRule type="cellIs" priority="13" operator="greaterThan" aboveAverage="0" equalAverage="0" bottom="0" percent="0" rank="0" text="" dxfId="17">
      <formula>100</formula>
    </cfRule>
  </conditionalFormatting>
  <conditionalFormatting sqref="Y1:Y1048576">
    <cfRule type="cellIs" priority="14" operator="greaterThan" aboveAverage="0" equalAverage="0" bottom="0" percent="0" rank="0" text="" dxfId="17">
      <formula>0.5</formula>
    </cfRule>
  </conditionalFormatting>
  <conditionalFormatting sqref="S13">
    <cfRule type="cellIs" priority="15" operator="greaterThan" aboveAverage="0" equalAverage="0" bottom="0" percent="0" rank="0" text="" dxfId="13">
      <formula>1100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Y104857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B8" activeCellId="1" sqref="4:4 8:8 11:11"/>
    </sheetView>
  </sheetViews>
  <sheetFormatPr defaultColWidth="8.453125" defaultRowHeight="15" customHeight="true" zeroHeight="false" outlineLevelRow="0" outlineLevelCol="0"/>
  <cols>
    <col collapsed="false" customWidth="true" hidden="false" outlineLevel="0" max="1" min="1" style="1" width="17.47"/>
    <col collapsed="false" customWidth="true" hidden="false" outlineLevel="0" max="2" min="2" style="2" width="7.37"/>
    <col collapsed="false" customWidth="true" hidden="false" outlineLevel="0" max="3" min="3" style="1" width="7.91"/>
    <col collapsed="false" customWidth="true" hidden="false" outlineLevel="0" max="4" min="4" style="3" width="10.83"/>
    <col collapsed="false" customWidth="true" hidden="false" outlineLevel="0" max="5" min="5" style="4" width="10.57"/>
    <col collapsed="false" customWidth="true" hidden="false" outlineLevel="0" max="6" min="6" style="4" width="8.84"/>
    <col collapsed="false" customWidth="true" hidden="false" outlineLevel="0" max="7" min="7" style="4" width="7.82"/>
    <col collapsed="false" customWidth="true" hidden="false" outlineLevel="0" max="8" min="8" style="4" width="9.46"/>
    <col collapsed="false" customWidth="true" hidden="false" outlineLevel="0" max="9" min="9" style="4" width="8.19"/>
    <col collapsed="false" customWidth="true" hidden="false" outlineLevel="0" max="10" min="10" style="4" width="8.64"/>
    <col collapsed="false" customWidth="true" hidden="false" outlineLevel="0" max="11" min="11" style="4" width="7.73"/>
    <col collapsed="false" customWidth="true" hidden="false" outlineLevel="0" max="12" min="12" style="4" width="9.92"/>
    <col collapsed="false" customWidth="true" hidden="false" outlineLevel="0" max="13" min="13" style="4" width="9.46"/>
    <col collapsed="false" customWidth="true" hidden="false" outlineLevel="0" max="14" min="14" style="4" width="9.01"/>
    <col collapsed="false" customWidth="true" hidden="false" outlineLevel="0" max="15" min="15" style="4" width="9.64"/>
    <col collapsed="false" customWidth="true" hidden="false" outlineLevel="0" max="16" min="16" style="4" width="8.55"/>
    <col collapsed="false" customWidth="true" hidden="false" outlineLevel="0" max="17" min="17" style="3" width="10.83"/>
    <col collapsed="false" customWidth="true" hidden="false" outlineLevel="0" max="18" min="18" style="3" width="10.1"/>
    <col collapsed="false" customWidth="true" hidden="false" outlineLevel="0" max="19" min="19" style="2" width="8.37"/>
    <col collapsed="false" customWidth="true" hidden="false" outlineLevel="0" max="20" min="20" style="2" width="9.64"/>
    <col collapsed="false" customWidth="true" hidden="false" outlineLevel="0" max="21" min="21" style="5" width="12.92"/>
    <col collapsed="false" customWidth="true" hidden="false" outlineLevel="0" max="22" min="22" style="4" width="13.01"/>
    <col collapsed="false" customWidth="true" hidden="false" outlineLevel="0" max="23" min="23" style="2" width="10.73"/>
    <col collapsed="false" customWidth="true" hidden="false" outlineLevel="0" max="24" min="24" style="1" width="12.55"/>
    <col collapsed="false" customWidth="true" hidden="false" outlineLevel="0" max="25" min="25" style="3" width="11.83"/>
  </cols>
  <sheetData>
    <row r="1" customFormat="false" ht="15" hidden="false" customHeight="false" outlineLevel="0" collapsed="false">
      <c r="A1" s="6" t="s">
        <v>0</v>
      </c>
      <c r="B1" s="7"/>
      <c r="C1" s="7"/>
      <c r="D1" s="8" t="n">
        <f aca="false">MAX(D3:D6)</f>
        <v>1</v>
      </c>
      <c r="E1" s="8" t="n">
        <f aca="false">MAX(E3:E6)</f>
        <v>1</v>
      </c>
      <c r="F1" s="8" t="n">
        <f aca="false">MAX(F3:F6)</f>
        <v>1</v>
      </c>
      <c r="G1" s="8" t="n">
        <f aca="false">MAX(G3:G6)</f>
        <v>1</v>
      </c>
      <c r="H1" s="8" t="n">
        <f aca="false">MAX(H3:H6)</f>
        <v>1</v>
      </c>
      <c r="I1" s="8" t="n">
        <f aca="false">MAX(I3:I6)</f>
        <v>1</v>
      </c>
      <c r="J1" s="8" t="n">
        <f aca="false">MAX(J3:J6)</f>
        <v>1</v>
      </c>
      <c r="K1" s="8" t="n">
        <f aca="false">MAX(K3:K6)</f>
        <v>1</v>
      </c>
      <c r="L1" s="8" t="n">
        <f aca="false">MAX(L3:L6)</f>
        <v>1</v>
      </c>
      <c r="M1" s="8" t="n">
        <f aca="false">MAX(M3:M6)</f>
        <v>1</v>
      </c>
      <c r="N1" s="8" t="n">
        <f aca="false">MAX(N3:N6)</f>
        <v>1</v>
      </c>
      <c r="O1" s="8" t="n">
        <f aca="false">MAX(O3:O6)</f>
        <v>1</v>
      </c>
      <c r="P1" s="8" t="n">
        <f aca="false">MAX(P3:P6)</f>
        <v>1</v>
      </c>
      <c r="Q1" s="8" t="n">
        <f aca="false">MAX(Q3:Q6)</f>
        <v>0.977045820810297</v>
      </c>
      <c r="R1" s="8" t="n">
        <f aca="false">MAX(R3:R6)</f>
        <v>0.492</v>
      </c>
      <c r="S1" s="8" t="n">
        <f aca="false">MAX(S3:S6)</f>
        <v>1251.935991</v>
      </c>
      <c r="T1" s="8" t="n">
        <f aca="false">MAX(T3:T6)</f>
        <v>1215.55198228034</v>
      </c>
      <c r="U1" s="8" t="n">
        <f aca="false">MAX(U3:U6)</f>
        <v>0.7325767293528</v>
      </c>
      <c r="V1" s="9" t="n">
        <f aca="false">MAX(V3:V6)</f>
        <v>250</v>
      </c>
      <c r="W1" s="10" t="n">
        <f aca="false">MAX(W3:W6)</f>
        <v>695</v>
      </c>
      <c r="X1" s="10" t="n">
        <f aca="false">MAX(X3:X6)</f>
        <v>119.099386043685</v>
      </c>
      <c r="Y1" s="8" t="n">
        <f aca="false">MAX(Y3:Y6)</f>
        <v>0.505572883288535</v>
      </c>
    </row>
    <row r="2" customFormat="false" ht="15" hidden="false" customHeight="false" outlineLevel="0" collapsed="false">
      <c r="A2" s="11" t="s">
        <v>1</v>
      </c>
      <c r="B2" s="12" t="s">
        <v>2</v>
      </c>
      <c r="C2" s="12" t="s">
        <v>3</v>
      </c>
      <c r="D2" s="13" t="s">
        <v>4</v>
      </c>
      <c r="E2" s="14" t="s">
        <v>5</v>
      </c>
      <c r="F2" s="14" t="s">
        <v>6</v>
      </c>
      <c r="G2" s="14" t="s">
        <v>7</v>
      </c>
      <c r="H2" s="14" t="s">
        <v>8</v>
      </c>
      <c r="I2" s="14" t="s">
        <v>9</v>
      </c>
      <c r="J2" s="14" t="s">
        <v>10</v>
      </c>
      <c r="K2" s="14" t="s">
        <v>11</v>
      </c>
      <c r="L2" s="14" t="s">
        <v>12</v>
      </c>
      <c r="M2" s="14" t="s">
        <v>13</v>
      </c>
      <c r="N2" s="14" t="s">
        <v>14</v>
      </c>
      <c r="O2" s="14" t="s">
        <v>15</v>
      </c>
      <c r="P2" s="14" t="s">
        <v>16</v>
      </c>
      <c r="Q2" s="13" t="s">
        <v>17</v>
      </c>
      <c r="R2" s="15" t="s">
        <v>18</v>
      </c>
      <c r="S2" s="16" t="s">
        <v>19</v>
      </c>
      <c r="T2" s="16" t="s">
        <v>20</v>
      </c>
      <c r="U2" s="17" t="s">
        <v>21</v>
      </c>
      <c r="V2" s="18" t="s">
        <v>22</v>
      </c>
      <c r="W2" s="19" t="s">
        <v>23</v>
      </c>
      <c r="X2" s="20" t="s">
        <v>24</v>
      </c>
      <c r="Y2" s="21" t="s">
        <v>25</v>
      </c>
    </row>
    <row r="3" customFormat="false" ht="15" hidden="false" customHeight="true" outlineLevel="0" collapsed="false">
      <c r="A3" s="22" t="s">
        <v>26</v>
      </c>
      <c r="B3" s="2" t="n">
        <v>1</v>
      </c>
      <c r="C3" s="1" t="n">
        <v>0</v>
      </c>
      <c r="D3" s="3" t="n">
        <v>1</v>
      </c>
      <c r="E3" s="4" t="n">
        <v>1</v>
      </c>
      <c r="F3" s="4" t="n">
        <v>1</v>
      </c>
      <c r="G3" s="4" t="n">
        <v>1</v>
      </c>
      <c r="H3" s="4" t="n">
        <v>1</v>
      </c>
      <c r="I3" s="4" t="n">
        <v>0.5</v>
      </c>
      <c r="J3" s="4" t="n">
        <v>1</v>
      </c>
      <c r="K3" s="4" t="n">
        <v>0.5</v>
      </c>
      <c r="L3" s="4" t="n">
        <v>1</v>
      </c>
      <c r="M3" s="4" t="n">
        <v>1</v>
      </c>
      <c r="N3" s="4" t="n">
        <v>1</v>
      </c>
      <c r="O3" s="4" t="n">
        <v>1</v>
      </c>
      <c r="P3" s="4" t="n">
        <v>1</v>
      </c>
      <c r="Q3" s="3" t="n">
        <v>0.977045820810297</v>
      </c>
      <c r="R3" s="3" t="n">
        <v>0.347</v>
      </c>
      <c r="S3" s="2" t="n">
        <v>1108.235264</v>
      </c>
      <c r="T3" s="2" t="n">
        <f aca="false">Q3*S3</f>
        <v>1082.7966331658</v>
      </c>
      <c r="U3" s="5" t="n">
        <f aca="false">AVERAGE(Q3, R3)</f>
        <v>0.662022910405149</v>
      </c>
      <c r="V3" s="4" t="n">
        <f aca="false">D3*E3*F3*G3*H3*I3*J3*K3*L3*M3*N3*O3*P3*1000</f>
        <v>250</v>
      </c>
      <c r="W3" s="2" t="n">
        <v>548</v>
      </c>
      <c r="X3" s="4" t="n">
        <f aca="false">V3*Q3*R3</f>
        <v>84.7587249552933</v>
      </c>
      <c r="Y3" s="3" t="n">
        <f aca="false">R3/Q3</f>
        <v>0.355152227878342</v>
      </c>
    </row>
    <row r="4" customFormat="false" ht="15" hidden="false" customHeight="true" outlineLevel="0" collapsed="false">
      <c r="A4" s="22" t="s">
        <v>27</v>
      </c>
      <c r="B4" s="2" t="n">
        <v>1</v>
      </c>
      <c r="C4" s="1" t="n">
        <v>0</v>
      </c>
      <c r="D4" s="3" t="n">
        <v>0.995</v>
      </c>
      <c r="E4" s="4" t="n">
        <v>1</v>
      </c>
      <c r="F4" s="4" t="n">
        <v>1</v>
      </c>
      <c r="G4" s="4" t="n">
        <v>1</v>
      </c>
      <c r="H4" s="4" t="n">
        <v>0.5</v>
      </c>
      <c r="I4" s="4" t="n">
        <v>1</v>
      </c>
      <c r="J4" s="4" t="n">
        <v>1</v>
      </c>
      <c r="K4" s="4" t="n">
        <v>1</v>
      </c>
      <c r="L4" s="4" t="n">
        <v>0.5</v>
      </c>
      <c r="M4" s="4" t="n">
        <v>1</v>
      </c>
      <c r="N4" s="4" t="n">
        <v>1</v>
      </c>
      <c r="O4" s="4" t="n">
        <v>1</v>
      </c>
      <c r="P4" s="4" t="n">
        <v>1</v>
      </c>
      <c r="Q4" s="3" t="n">
        <v>0.9731534587056</v>
      </c>
      <c r="R4" s="3" t="n">
        <v>0.492</v>
      </c>
      <c r="S4" s="2" t="n">
        <v>1215.512154</v>
      </c>
      <c r="T4" s="2" t="n">
        <f aca="false">Q4*S4</f>
        <v>1182.87985676379</v>
      </c>
      <c r="U4" s="5" t="n">
        <f aca="false">AVERAGE(Q4, R4)</f>
        <v>0.7325767293528</v>
      </c>
      <c r="V4" s="4" t="n">
        <f aca="false">D4*E4*F4*G4*H4*I4*J4*K4*L4*M4*N4*O4*P4*1000</f>
        <v>248.75</v>
      </c>
      <c r="W4" s="2" t="n">
        <v>576</v>
      </c>
      <c r="X4" s="4" t="n">
        <f aca="false">V4*Q4*R4</f>
        <v>119.099386043685</v>
      </c>
      <c r="Y4" s="3" t="n">
        <f aca="false">R4/Q4</f>
        <v>0.505572883288535</v>
      </c>
    </row>
    <row r="5" customFormat="false" ht="15" hidden="false" customHeight="true" outlineLevel="0" collapsed="false">
      <c r="A5" s="20" t="s">
        <v>28</v>
      </c>
      <c r="B5" s="2" t="n">
        <v>0.02415</v>
      </c>
      <c r="C5" s="1" t="n">
        <v>0</v>
      </c>
      <c r="D5" s="3" t="n">
        <v>1</v>
      </c>
      <c r="E5" s="4" t="n">
        <v>1</v>
      </c>
      <c r="F5" s="4" t="n">
        <v>1</v>
      </c>
      <c r="G5" s="4" t="n">
        <v>1</v>
      </c>
      <c r="H5" s="4" t="n">
        <v>1</v>
      </c>
      <c r="I5" s="4" t="n">
        <v>0.5</v>
      </c>
      <c r="J5" s="4" t="n">
        <v>1</v>
      </c>
      <c r="K5" s="4" t="n">
        <v>1</v>
      </c>
      <c r="L5" s="4" t="n">
        <v>0.5</v>
      </c>
      <c r="M5" s="4" t="n">
        <v>1</v>
      </c>
      <c r="N5" s="4" t="n">
        <v>1</v>
      </c>
      <c r="O5" s="4" t="n">
        <v>1</v>
      </c>
      <c r="P5" s="4" t="n">
        <v>1</v>
      </c>
      <c r="Q5" s="3" t="n">
        <v>0.970966065241133</v>
      </c>
      <c r="R5" s="3" t="n">
        <v>0.424</v>
      </c>
      <c r="S5" s="2" t="n">
        <v>1157.920275</v>
      </c>
      <c r="T5" s="2" t="n">
        <f aca="false">Q5*S5</f>
        <v>1124.30129327968</v>
      </c>
      <c r="U5" s="5" t="n">
        <f aca="false">AVERAGE(Q5, R5)</f>
        <v>0.697483032620567</v>
      </c>
      <c r="V5" s="4" t="n">
        <f aca="false">D5*E5*F5*G5*H5*I5*J5*K5*L5*M5*N5*O5*P5*1000</f>
        <v>250</v>
      </c>
      <c r="X5" s="4" t="n">
        <f aca="false">V5*Q5*R5</f>
        <v>102.92240291556</v>
      </c>
      <c r="Y5" s="3" t="n">
        <f aca="false">R5/Q5</f>
        <v>0.43667849493247</v>
      </c>
    </row>
    <row r="6" customFormat="false" ht="15" hidden="false" customHeight="true" outlineLevel="0" collapsed="false">
      <c r="A6" s="22" t="s">
        <v>30</v>
      </c>
      <c r="B6" s="23" t="n">
        <v>3</v>
      </c>
      <c r="C6" s="1" t="n">
        <v>0</v>
      </c>
      <c r="D6" s="3" t="n">
        <v>0.995</v>
      </c>
      <c r="E6" s="4" t="n">
        <v>1</v>
      </c>
      <c r="F6" s="4" t="n">
        <v>1</v>
      </c>
      <c r="G6" s="4" t="n">
        <v>1</v>
      </c>
      <c r="H6" s="4" t="n">
        <v>1</v>
      </c>
      <c r="I6" s="4" t="n">
        <v>0.5</v>
      </c>
      <c r="J6" s="4" t="n">
        <v>1</v>
      </c>
      <c r="K6" s="4" t="n">
        <v>1</v>
      </c>
      <c r="L6" s="4" t="n">
        <v>0.5</v>
      </c>
      <c r="M6" s="4" t="n">
        <v>1</v>
      </c>
      <c r="N6" s="4" t="n">
        <v>1</v>
      </c>
      <c r="O6" s="4" t="n">
        <v>1</v>
      </c>
      <c r="P6" s="4" t="n">
        <v>1</v>
      </c>
      <c r="Q6" s="3" t="n">
        <v>0.970937804343659</v>
      </c>
      <c r="R6" s="3" t="n">
        <v>0.472</v>
      </c>
      <c r="S6" s="2" t="n">
        <v>1251.935991</v>
      </c>
      <c r="T6" s="2" t="n">
        <f aca="false">Q6*S6</f>
        <v>1215.55198228034</v>
      </c>
      <c r="U6" s="5" t="n">
        <f aca="false">AVERAGE(Q6, R6)</f>
        <v>0.72146890217183</v>
      </c>
      <c r="V6" s="4" t="n">
        <f aca="false">D6*E6*F6*G6*H6*I6*J6*K6*L6*M6*N6*O6*P6*1000</f>
        <v>248.75</v>
      </c>
      <c r="W6" s="2" t="n">
        <v>695</v>
      </c>
      <c r="X6" s="4" t="n">
        <f aca="false">V6*Q6*R6</f>
        <v>113.997807607989</v>
      </c>
      <c r="Y6" s="3" t="n">
        <f aca="false">R6/Q6</f>
        <v>0.486127945465122</v>
      </c>
    </row>
    <row r="7" customFormat="false" ht="15" hidden="false" customHeight="true" outlineLevel="0" collapsed="false">
      <c r="A7" s="22" t="s">
        <v>31</v>
      </c>
      <c r="B7" s="2" t="n">
        <v>5</v>
      </c>
      <c r="C7" s="1" t="n">
        <v>0</v>
      </c>
      <c r="D7" s="3" t="n">
        <v>0.995</v>
      </c>
      <c r="E7" s="4" t="n">
        <v>1</v>
      </c>
      <c r="F7" s="4" t="n">
        <v>1</v>
      </c>
      <c r="G7" s="4" t="n">
        <v>1</v>
      </c>
      <c r="H7" s="4" t="n">
        <v>1</v>
      </c>
      <c r="I7" s="4" t="n">
        <v>0.5</v>
      </c>
      <c r="J7" s="4" t="n">
        <v>1</v>
      </c>
      <c r="K7" s="4" t="n">
        <v>1</v>
      </c>
      <c r="L7" s="4" t="n">
        <v>0.5</v>
      </c>
      <c r="M7" s="4" t="n">
        <v>1</v>
      </c>
      <c r="N7" s="4" t="n">
        <v>1</v>
      </c>
      <c r="O7" s="4" t="n">
        <v>1</v>
      </c>
      <c r="P7" s="4" t="n">
        <v>1</v>
      </c>
      <c r="Q7" s="3" t="n">
        <v>0.970937804343659</v>
      </c>
      <c r="R7" s="3" t="n">
        <v>0.485</v>
      </c>
      <c r="S7" s="2" t="n">
        <v>1261.965089</v>
      </c>
      <c r="T7" s="2" t="n">
        <f aca="false">Q7*S7</f>
        <v>1225.28961267201</v>
      </c>
      <c r="U7" s="5" t="n">
        <f aca="false">AVERAGE(Q7, R7)</f>
        <v>0.727968902171829</v>
      </c>
      <c r="V7" s="4" t="n">
        <f aca="false">D7*E7*F7*G7*H7*I7*J7*K7*L7*M7*N7*O7*P7*1000</f>
        <v>248.75</v>
      </c>
      <c r="W7" s="2" t="n">
        <v>511</v>
      </c>
      <c r="X7" s="4" t="n">
        <f aca="false">V7*Q7*R7</f>
        <v>117.137577732785</v>
      </c>
      <c r="Y7" s="3" t="n">
        <f aca="false">R7/Q7</f>
        <v>0.49951706260717</v>
      </c>
    </row>
    <row r="8" customFormat="false" ht="15" hidden="false" customHeight="true" outlineLevel="0" collapsed="false">
      <c r="A8" s="26" t="s">
        <v>39</v>
      </c>
      <c r="B8" s="2" t="n">
        <v>0.024033</v>
      </c>
      <c r="C8" s="1" t="n">
        <v>0</v>
      </c>
      <c r="D8" s="3" t="n">
        <v>0.995</v>
      </c>
      <c r="E8" s="4" t="n">
        <v>1</v>
      </c>
      <c r="F8" s="4" t="n">
        <v>1</v>
      </c>
      <c r="G8" s="4" t="n">
        <v>1</v>
      </c>
      <c r="H8" s="4" t="n">
        <v>1</v>
      </c>
      <c r="I8" s="4" t="n">
        <v>0.5</v>
      </c>
      <c r="J8" s="4" t="n">
        <v>1</v>
      </c>
      <c r="K8" s="4" t="n">
        <v>1</v>
      </c>
      <c r="L8" s="4" t="n">
        <v>0.5</v>
      </c>
      <c r="M8" s="4" t="n">
        <v>1</v>
      </c>
      <c r="N8" s="4" t="n">
        <v>1</v>
      </c>
      <c r="O8" s="4" t="n">
        <v>1</v>
      </c>
      <c r="P8" s="4" t="n">
        <v>1</v>
      </c>
      <c r="Q8" s="3" t="n">
        <v>0.970937804343659</v>
      </c>
      <c r="R8" s="3" t="n">
        <v>0.436</v>
      </c>
      <c r="S8" s="2" t="n">
        <v>1234.139995</v>
      </c>
      <c r="T8" s="2" t="n">
        <f aca="false">Q8*S8</f>
        <v>1198.27317699799</v>
      </c>
      <c r="U8" s="5" t="n">
        <f aca="false">AVERAGE(Q8, R8)</f>
        <v>0.703468902171829</v>
      </c>
      <c r="V8" s="4" t="n">
        <f aca="false">D8*E8*F8*G8*H8*I8*J8*K8*L8*M8*N8*O8*P8*1000</f>
        <v>248.75</v>
      </c>
      <c r="X8" s="4" t="n">
        <f aca="false">V8*Q8*R8</f>
        <v>105.303059570092</v>
      </c>
      <c r="Y8" s="3" t="n">
        <f aca="false">R8/Q8</f>
        <v>0.449050390302528</v>
      </c>
    </row>
    <row r="9" customFormat="false" ht="15" hidden="false" customHeight="true" outlineLevel="0" collapsed="false">
      <c r="A9" s="20" t="s">
        <v>34</v>
      </c>
      <c r="B9" s="2" t="n">
        <v>0.024093</v>
      </c>
      <c r="C9" s="1" t="n">
        <v>0</v>
      </c>
      <c r="D9" s="3" t="n">
        <v>0.99</v>
      </c>
      <c r="E9" s="4" t="n">
        <v>1</v>
      </c>
      <c r="F9" s="4" t="n">
        <v>1</v>
      </c>
      <c r="G9" s="4" t="n">
        <v>1</v>
      </c>
      <c r="H9" s="4" t="n">
        <v>1</v>
      </c>
      <c r="I9" s="4" t="n">
        <v>0.5</v>
      </c>
      <c r="J9" s="4" t="n">
        <v>1</v>
      </c>
      <c r="K9" s="4" t="n">
        <v>1</v>
      </c>
      <c r="L9" s="4" t="n">
        <v>0.5</v>
      </c>
      <c r="M9" s="4" t="n">
        <v>1</v>
      </c>
      <c r="N9" s="4" t="n">
        <v>1</v>
      </c>
      <c r="O9" s="4" t="n">
        <v>1</v>
      </c>
      <c r="P9" s="4" t="n">
        <v>1</v>
      </c>
      <c r="Q9" s="3" t="n">
        <v>0.970909543446185</v>
      </c>
      <c r="R9" s="3" t="n">
        <v>0.47</v>
      </c>
      <c r="S9" s="2" t="n">
        <v>1219.984617</v>
      </c>
      <c r="T9" s="2" t="n">
        <f aca="false">Q9*S9</f>
        <v>1184.49470750284</v>
      </c>
      <c r="U9" s="5" t="n">
        <f aca="false">AVERAGE(Q9, R9)</f>
        <v>0.720454771723093</v>
      </c>
      <c r="V9" s="4" t="n">
        <f aca="false">D9*E9*F9*G9*H9*I9*J9*K9*L9*M9*N9*O9*P9*1000</f>
        <v>247.5</v>
      </c>
      <c r="X9" s="4" t="n">
        <f aca="false">V9*Q9*R9</f>
        <v>112.941052641377</v>
      </c>
      <c r="Y9" s="3" t="n">
        <f aca="false">R9/Q9</f>
        <v>0.484082171374857</v>
      </c>
    </row>
    <row r="10" customFormat="false" ht="15" hidden="false" customHeight="true" outlineLevel="0" collapsed="false">
      <c r="A10" s="20" t="s">
        <v>35</v>
      </c>
      <c r="B10" s="2" t="n">
        <v>3</v>
      </c>
      <c r="C10" s="1" t="n">
        <v>0</v>
      </c>
      <c r="D10" s="3" t="n">
        <v>0.995</v>
      </c>
      <c r="E10" s="4" t="n">
        <v>1</v>
      </c>
      <c r="F10" s="4" t="n">
        <v>1</v>
      </c>
      <c r="G10" s="4" t="n">
        <v>0.5</v>
      </c>
      <c r="H10" s="4" t="n">
        <v>1</v>
      </c>
      <c r="I10" s="4" t="n">
        <v>0.5</v>
      </c>
      <c r="J10" s="4" t="n">
        <v>1</v>
      </c>
      <c r="K10" s="4" t="n">
        <v>1</v>
      </c>
      <c r="L10" s="4" t="n">
        <v>0.5</v>
      </c>
      <c r="M10" s="4" t="n">
        <v>1</v>
      </c>
      <c r="N10" s="4" t="n">
        <v>1</v>
      </c>
      <c r="O10" s="4" t="n">
        <v>1</v>
      </c>
      <c r="P10" s="4" t="n">
        <v>1</v>
      </c>
      <c r="Q10" s="3" t="n">
        <v>0.966981278697337</v>
      </c>
      <c r="R10" s="3" t="n">
        <v>0.331</v>
      </c>
      <c r="S10" s="2" t="n">
        <v>1143.593</v>
      </c>
      <c r="T10" s="2" t="n">
        <f aca="false">Q10*S10</f>
        <v>1105.83302144932</v>
      </c>
      <c r="U10" s="5" t="n">
        <f aca="false">AVERAGE(Q10, R10)</f>
        <v>0.648990639348669</v>
      </c>
      <c r="V10" s="4" t="n">
        <f aca="false">D10*E10*F10*G10*H10*I10*J10*K10*L10*M10*N10*O10*P10*1000</f>
        <v>124.375</v>
      </c>
      <c r="W10" s="2" t="n">
        <v>625</v>
      </c>
      <c r="X10" s="4" t="n">
        <f aca="false">V10*Q10*R10</f>
        <v>39.8088061540718</v>
      </c>
      <c r="Y10" s="3" t="n">
        <f aca="false">R10/Q10</f>
        <v>0.342302387121605</v>
      </c>
    </row>
    <row r="11" customFormat="false" ht="15" hidden="false" customHeight="true" outlineLevel="0" collapsed="false">
      <c r="A11" s="26" t="s">
        <v>40</v>
      </c>
      <c r="B11" s="2" t="n">
        <v>2</v>
      </c>
      <c r="C11" s="1" t="n">
        <v>0</v>
      </c>
      <c r="D11" s="3" t="n">
        <v>1</v>
      </c>
      <c r="E11" s="4" t="n">
        <v>1</v>
      </c>
      <c r="F11" s="4" t="n">
        <v>1</v>
      </c>
      <c r="G11" s="4" t="n">
        <v>0.5</v>
      </c>
      <c r="H11" s="4" t="n">
        <v>1</v>
      </c>
      <c r="I11" s="4" t="n">
        <v>0.5</v>
      </c>
      <c r="J11" s="4" t="n">
        <v>1</v>
      </c>
      <c r="K11" s="4" t="n">
        <v>0.5</v>
      </c>
      <c r="L11" s="4" t="n">
        <v>0.5</v>
      </c>
      <c r="M11" s="4" t="n">
        <v>1</v>
      </c>
      <c r="N11" s="4" t="n">
        <v>1</v>
      </c>
      <c r="O11" s="4" t="n">
        <v>1</v>
      </c>
      <c r="P11" s="4" t="n">
        <v>1</v>
      </c>
      <c r="Q11" s="3" t="n">
        <v>0.9518101506719</v>
      </c>
      <c r="R11" s="3" t="n">
        <v>0.393</v>
      </c>
      <c r="S11" s="2" t="n">
        <v>1146.190448</v>
      </c>
      <c r="T11" s="2" t="n">
        <f aca="false">Q11*S11</f>
        <v>1090.95570300957</v>
      </c>
      <c r="U11" s="5" t="n">
        <f aca="false">AVERAGE(Q11, R11)</f>
        <v>0.67240507533595</v>
      </c>
      <c r="V11" s="4" t="n">
        <f aca="false">D11*E11*F11*G11*H11*I11*J11*K11*L11*M11*N11*O11*P11*1000</f>
        <v>62.5</v>
      </c>
      <c r="W11" s="2" t="n">
        <v>535</v>
      </c>
      <c r="X11" s="4" t="n">
        <f aca="false">V11*Q11*R11</f>
        <v>23.3788368258785</v>
      </c>
      <c r="Y11" s="3" t="n">
        <f aca="false">R11/Q11</f>
        <v>0.412897466708644</v>
      </c>
    </row>
    <row r="12" customFormat="false" ht="15" hidden="false" customHeight="true" outlineLevel="0" collapsed="false">
      <c r="A12" s="20" t="s">
        <v>37</v>
      </c>
      <c r="B12" s="2" t="n">
        <v>0.023905</v>
      </c>
      <c r="C12" s="1" t="n">
        <v>0</v>
      </c>
      <c r="D12" s="3" t="n">
        <v>1</v>
      </c>
      <c r="E12" s="4" t="n">
        <v>1</v>
      </c>
      <c r="F12" s="4" t="n">
        <v>1</v>
      </c>
      <c r="G12" s="4" t="n">
        <v>0.5</v>
      </c>
      <c r="H12" s="4" t="n">
        <v>1</v>
      </c>
      <c r="I12" s="4" t="n">
        <v>1</v>
      </c>
      <c r="J12" s="4" t="n">
        <v>1</v>
      </c>
      <c r="K12" s="4" t="n">
        <v>1</v>
      </c>
      <c r="L12" s="4" t="n">
        <v>1</v>
      </c>
      <c r="M12" s="4" t="n">
        <v>1</v>
      </c>
      <c r="N12" s="4" t="n">
        <v>0.5</v>
      </c>
      <c r="O12" s="4" t="n">
        <v>1</v>
      </c>
      <c r="P12" s="4" t="n">
        <v>0.5</v>
      </c>
      <c r="Q12" s="3" t="n">
        <v>0.713342583564223</v>
      </c>
      <c r="R12" s="3" t="n">
        <v>0.264</v>
      </c>
      <c r="S12" s="2" t="n">
        <v>1104.547427</v>
      </c>
      <c r="T12" s="2" t="n">
        <f aca="false">Q12*S12</f>
        <v>787.920715245395</v>
      </c>
      <c r="U12" s="5" t="n">
        <f aca="false">AVERAGE(Q12, R12)</f>
        <v>0.488671291782112</v>
      </c>
      <c r="V12" s="4" t="n">
        <f aca="false">D12*E12*F12*G12*H12*I12*J12*K12*L12*M12*N12*O12*P12*1000</f>
        <v>125</v>
      </c>
      <c r="W12" s="2" t="n">
        <v>478</v>
      </c>
      <c r="X12" s="4" t="n">
        <f aca="false">V12*Q12*R12</f>
        <v>23.5403052576194</v>
      </c>
      <c r="Y12" s="3" t="n">
        <f aca="false">R12/Q12</f>
        <v>0.370088658777276</v>
      </c>
    </row>
    <row r="13" customFormat="false" ht="15" hidden="false" customHeight="true" outlineLevel="0" collapsed="false">
      <c r="A13" s="25" t="s">
        <v>38</v>
      </c>
      <c r="B13" s="2" t="n">
        <v>2</v>
      </c>
      <c r="C13" s="1" t="n">
        <v>0</v>
      </c>
      <c r="D13" s="3" t="n">
        <v>0.995</v>
      </c>
      <c r="E13" s="4" t="n">
        <v>1</v>
      </c>
      <c r="F13" s="4" t="n">
        <v>1</v>
      </c>
      <c r="G13" s="4" t="n">
        <v>1</v>
      </c>
      <c r="H13" s="4" t="n">
        <v>0.5</v>
      </c>
      <c r="I13" s="4" t="n">
        <v>1</v>
      </c>
      <c r="J13" s="4" t="n">
        <v>1</v>
      </c>
      <c r="K13" s="4" t="n">
        <v>0.5</v>
      </c>
      <c r="L13" s="4" t="n">
        <v>1</v>
      </c>
      <c r="M13" s="4" t="n">
        <v>1</v>
      </c>
      <c r="N13" s="4" t="n">
        <v>0.5</v>
      </c>
      <c r="O13" s="4" t="n">
        <v>1</v>
      </c>
      <c r="P13" s="4" t="n">
        <v>0.5</v>
      </c>
      <c r="Q13" s="3" t="n">
        <v>0.696532323485309</v>
      </c>
      <c r="R13" s="3" t="n">
        <v>0.251</v>
      </c>
      <c r="S13" s="2" t="n">
        <v>1143.952637</v>
      </c>
      <c r="T13" s="2" t="n">
        <f aca="false">Q13*S13</f>
        <v>796.799988206756</v>
      </c>
      <c r="U13" s="5" t="n">
        <f aca="false">AVERAGE(Q13, R13)</f>
        <v>0.473766161742655</v>
      </c>
      <c r="V13" s="4" t="n">
        <f aca="false">D13*E13*F13*G13*H13*I13*J13*K13*L13*M13*N13*O13*P13*1000</f>
        <v>62.1875</v>
      </c>
      <c r="W13" s="2" t="n">
        <v>554</v>
      </c>
      <c r="X13" s="4" t="n">
        <f aca="false">V13*Q13*R13</f>
        <v>10.8722165705524</v>
      </c>
      <c r="Y13" s="3" t="n">
        <f aca="false">R13/Q13</f>
        <v>0.360356571456793</v>
      </c>
    </row>
    <row r="1048539" customFormat="false" ht="13.8" hidden="false" customHeight="false" outlineLevel="0" collapsed="false"/>
    <row r="1048540" customFormat="false" ht="13.8" hidden="false" customHeight="false" outlineLevel="0" collapsed="false"/>
    <row r="1048541" customFormat="false" ht="13.8" hidden="false" customHeight="false" outlineLevel="0" collapsed="false"/>
    <row r="1048542" customFormat="false" ht="13.8" hidden="false" customHeight="false" outlineLevel="0" collapsed="false"/>
    <row r="1048543" customFormat="false" ht="13.8" hidden="false" customHeight="false" outlineLevel="0" collapsed="false"/>
    <row r="1048544" customFormat="false" ht="13.8" hidden="false" customHeight="false" outlineLevel="0" collapsed="false"/>
    <row r="1048545" customFormat="false" ht="13.8" hidden="false" customHeight="false" outlineLevel="0" collapsed="false"/>
    <row r="1048546" customFormat="false" ht="13.8" hidden="false" customHeight="false" outlineLevel="0" collapsed="false"/>
    <row r="1048547" customFormat="false" ht="13.8" hidden="false" customHeight="false" outlineLevel="0" collapsed="false"/>
    <row r="1048548" customFormat="false" ht="13.8" hidden="false" customHeight="false" outlineLevel="0" collapsed="false"/>
    <row r="1048549" customFormat="false" ht="13.8" hidden="false" customHeight="false" outlineLevel="0" collapsed="false"/>
    <row r="1048550" customFormat="false" ht="13.8" hidden="false" customHeight="false" outlineLevel="0" collapsed="false"/>
    <row r="1048551" customFormat="false" ht="13.8" hidden="false" customHeight="false" outlineLevel="0" collapsed="false"/>
    <row r="1048552" customFormat="false" ht="13.8" hidden="false" customHeight="false" outlineLevel="0" collapsed="false"/>
    <row r="1048553" customFormat="false" ht="13.8" hidden="false" customHeight="false" outlineLevel="0" collapsed="false"/>
    <row r="1048554" customFormat="false" ht="13.8" hidden="false" customHeight="false" outlineLevel="0" collapsed="false"/>
    <row r="1048555" customFormat="false" ht="13.8" hidden="false" customHeight="false" outlineLevel="0" collapsed="false"/>
    <row r="1048556" customFormat="false" ht="13.8" hidden="false" customHeight="false" outlineLevel="0" collapsed="false"/>
    <row r="1048557" customFormat="false" ht="13.8" hidden="false" customHeight="false" outlineLevel="0" collapsed="false"/>
    <row r="1048558" customFormat="false" ht="13.8" hidden="false" customHeight="false" outlineLevel="0" collapsed="false"/>
    <row r="1048559" customFormat="false" ht="13.8" hidden="false" customHeight="false" outlineLevel="0" collapsed="false"/>
    <row r="1048560" customFormat="false" ht="13.8" hidden="false" customHeight="false" outlineLevel="0" collapsed="false"/>
    <row r="1048561" customFormat="false" ht="13.8" hidden="false" customHeight="false" outlineLevel="0" collapsed="false"/>
    <row r="1048562" customFormat="false" ht="13.8" hidden="false" customHeight="false" outlineLevel="0" collapsed="false"/>
    <row r="1048563" customFormat="false" ht="13.8" hidden="false" customHeight="false" outlineLevel="0" collapsed="false"/>
    <row r="1048564" customFormat="false" ht="13.8" hidden="false" customHeight="false" outlineLevel="0" collapsed="false"/>
    <row r="1048565" customFormat="false" ht="13.8" hidden="false" customHeight="false" outlineLevel="0" collapsed="false"/>
    <row r="1048566" customFormat="false" ht="13.8" hidden="false" customHeight="false" outlineLevel="0" collapsed="false"/>
    <row r="1048567" customFormat="false" ht="13.8" hidden="false" customHeight="false" outlineLevel="0" collapsed="false"/>
    <row r="1048568" customFormat="false" ht="13.8" hidden="false" customHeight="false" outlineLevel="0" collapsed="false"/>
    <row r="1048569" customFormat="false" ht="12.8" hidden="false" customHeight="false" outlineLevel="0" collapsed="false"/>
    <row r="1048570" customFormat="false" ht="12.8" hidden="false" customHeight="false" outlineLevel="0" collapsed="false"/>
    <row r="1048571" customFormat="false" ht="12.8" hidden="false" customHeight="false" outlineLevel="0" collapsed="false"/>
    <row r="1048572" customFormat="false" ht="12.8" hidden="false" customHeight="fals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autoFilter ref="A2:Y13"/>
  <conditionalFormatting sqref="G1">
    <cfRule type="cellIs" priority="2" operator="lessThan" aboveAverage="0" equalAverage="0" bottom="0" percent="0" rank="0" text="" dxfId="12">
      <formula>1</formula>
    </cfRule>
  </conditionalFormatting>
  <conditionalFormatting sqref="E3:P39">
    <cfRule type="cellIs" priority="3" operator="equal" aboveAverage="0" equalAverage="0" bottom="0" percent="0" rank="0" text="" dxfId="13">
      <formula>1</formula>
    </cfRule>
  </conditionalFormatting>
  <conditionalFormatting sqref="S1:S1048576">
    <cfRule type="cellIs" priority="4" operator="greaterThan" aboveAverage="0" equalAverage="0" bottom="0" percent="0" rank="0" text="" dxfId="13">
      <formula>1100</formula>
    </cfRule>
  </conditionalFormatting>
  <conditionalFormatting sqref="E1:P1048576">
    <cfRule type="cellIs" priority="5" operator="lessThan" aboveAverage="0" equalAverage="0" bottom="0" percent="0" rank="0" text="" dxfId="14">
      <formula>0.5</formula>
    </cfRule>
  </conditionalFormatting>
  <conditionalFormatting sqref="T1:T1048576">
    <cfRule type="cellIs" priority="6" operator="greaterThan" aboveAverage="0" equalAverage="0" bottom="0" percent="0" rank="0" text="" dxfId="15">
      <formula>800</formula>
    </cfRule>
  </conditionalFormatting>
  <conditionalFormatting sqref="Q1:Q1048576 T7:T13">
    <cfRule type="cellIs" priority="7" operator="greaterThan" aboveAverage="0" equalAverage="0" bottom="0" percent="0" rank="0" text="" dxfId="15">
      <formula>0.75</formula>
    </cfRule>
    <cfRule type="cellIs" priority="8" operator="lessThan" aboveAverage="0" equalAverage="0" bottom="0" percent="0" rank="0" text="" dxfId="16">
      <formula>0.6</formula>
    </cfRule>
  </conditionalFormatting>
  <conditionalFormatting sqref="X1:Y1 W1:W1048576">
    <cfRule type="cellIs" priority="9" operator="greaterThan" aboveAverage="0" equalAverage="0" bottom="0" percent="0" rank="0" text="" dxfId="15">
      <formula>600</formula>
    </cfRule>
  </conditionalFormatting>
  <conditionalFormatting sqref="U1:U1048576">
    <cfRule type="cellIs" priority="10" operator="greaterThan" aboveAverage="0" equalAverage="0" bottom="0" percent="0" rank="0" text="" dxfId="15">
      <formula>0.55</formula>
    </cfRule>
  </conditionalFormatting>
  <conditionalFormatting sqref="U7:U13 V1:V1048576">
    <cfRule type="cellIs" priority="11" operator="greaterThan" aboveAverage="0" equalAverage="0" bottom="0" percent="0" rank="0" text="" dxfId="15">
      <formula>0</formula>
    </cfRule>
  </conditionalFormatting>
  <conditionalFormatting sqref="R1:R1048576 V7:V13">
    <cfRule type="cellIs" priority="12" operator="greaterThan" aboveAverage="0" equalAverage="0" bottom="0" percent="0" rank="0" text="" dxfId="17">
      <formula>0.45</formula>
    </cfRule>
  </conditionalFormatting>
  <conditionalFormatting sqref="Y1 X1:X1048576">
    <cfRule type="cellIs" priority="13" operator="greaterThan" aboveAverage="0" equalAverage="0" bottom="0" percent="0" rank="0" text="" dxfId="17">
      <formula>100</formula>
    </cfRule>
  </conditionalFormatting>
  <conditionalFormatting sqref="Y1:Y1048576">
    <cfRule type="cellIs" priority="14" operator="greaterThan" aboveAverage="0" equalAverage="0" bottom="0" percent="0" rank="0" text="" dxfId="17">
      <formula>0.5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Y104857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9" activeCellId="3" sqref="4:4 8:8 11:11 A9"/>
    </sheetView>
  </sheetViews>
  <sheetFormatPr defaultColWidth="8.453125" defaultRowHeight="15" customHeight="true" zeroHeight="false" outlineLevelRow="0" outlineLevelCol="0"/>
  <cols>
    <col collapsed="false" customWidth="true" hidden="false" outlineLevel="0" max="1" min="1" style="1" width="17.47"/>
    <col collapsed="false" customWidth="true" hidden="false" outlineLevel="0" max="2" min="2" style="2" width="7.37"/>
    <col collapsed="false" customWidth="true" hidden="false" outlineLevel="0" max="3" min="3" style="1" width="7.91"/>
    <col collapsed="false" customWidth="true" hidden="false" outlineLevel="0" max="4" min="4" style="3" width="10.83"/>
    <col collapsed="false" customWidth="true" hidden="false" outlineLevel="0" max="5" min="5" style="4" width="10.57"/>
    <col collapsed="false" customWidth="true" hidden="false" outlineLevel="0" max="6" min="6" style="4" width="8.84"/>
    <col collapsed="false" customWidth="true" hidden="false" outlineLevel="0" max="7" min="7" style="4" width="7.82"/>
    <col collapsed="false" customWidth="true" hidden="false" outlineLevel="0" max="8" min="8" style="4" width="9.46"/>
    <col collapsed="false" customWidth="true" hidden="false" outlineLevel="0" max="9" min="9" style="4" width="8.19"/>
    <col collapsed="false" customWidth="true" hidden="false" outlineLevel="0" max="10" min="10" style="4" width="8.64"/>
    <col collapsed="false" customWidth="true" hidden="false" outlineLevel="0" max="11" min="11" style="4" width="7.73"/>
    <col collapsed="false" customWidth="true" hidden="false" outlineLevel="0" max="12" min="12" style="4" width="9.92"/>
    <col collapsed="false" customWidth="true" hidden="false" outlineLevel="0" max="13" min="13" style="4" width="9.46"/>
    <col collapsed="false" customWidth="true" hidden="false" outlineLevel="0" max="14" min="14" style="4" width="9.01"/>
    <col collapsed="false" customWidth="true" hidden="false" outlineLevel="0" max="15" min="15" style="4" width="9.64"/>
    <col collapsed="false" customWidth="true" hidden="false" outlineLevel="0" max="16" min="16" style="4" width="8.55"/>
    <col collapsed="false" customWidth="true" hidden="false" outlineLevel="0" max="17" min="17" style="3" width="10.83"/>
    <col collapsed="false" customWidth="true" hidden="false" outlineLevel="0" max="18" min="18" style="3" width="10.1"/>
    <col collapsed="false" customWidth="true" hidden="false" outlineLevel="0" max="19" min="19" style="2" width="8.37"/>
    <col collapsed="false" customWidth="true" hidden="false" outlineLevel="0" max="20" min="20" style="2" width="9.64"/>
    <col collapsed="false" customWidth="true" hidden="false" outlineLevel="0" max="21" min="21" style="5" width="12.92"/>
    <col collapsed="false" customWidth="true" hidden="false" outlineLevel="0" max="22" min="22" style="4" width="13.01"/>
    <col collapsed="false" customWidth="true" hidden="false" outlineLevel="0" max="23" min="23" style="2" width="10.73"/>
    <col collapsed="false" customWidth="true" hidden="false" outlineLevel="0" max="24" min="24" style="1" width="12.55"/>
    <col collapsed="false" customWidth="true" hidden="false" outlineLevel="0" max="25" min="25" style="3" width="11.83"/>
  </cols>
  <sheetData>
    <row r="1" customFormat="false" ht="15" hidden="false" customHeight="false" outlineLevel="0" collapsed="false">
      <c r="A1" s="6" t="s">
        <v>0</v>
      </c>
      <c r="B1" s="7"/>
      <c r="C1" s="7"/>
      <c r="D1" s="8" t="n">
        <f aca="false">MAX(D3:D6)</f>
        <v>1</v>
      </c>
      <c r="E1" s="8" t="n">
        <f aca="false">MAX(E3:E6)</f>
        <v>1</v>
      </c>
      <c r="F1" s="8" t="n">
        <f aca="false">MAX(F3:F6)</f>
        <v>1</v>
      </c>
      <c r="G1" s="8" t="n">
        <f aca="false">MAX(G3:G6)</f>
        <v>1</v>
      </c>
      <c r="H1" s="8" t="n">
        <f aca="false">MAX(H3:H6)</f>
        <v>1</v>
      </c>
      <c r="I1" s="8" t="n">
        <f aca="false">MAX(I3:I6)</f>
        <v>1</v>
      </c>
      <c r="J1" s="8" t="n">
        <f aca="false">MAX(J3:J6)</f>
        <v>1</v>
      </c>
      <c r="K1" s="8" t="n">
        <f aca="false">MAX(K3:K6)</f>
        <v>1</v>
      </c>
      <c r="L1" s="8" t="n">
        <f aca="false">MAX(L3:L6)</f>
        <v>1</v>
      </c>
      <c r="M1" s="8" t="n">
        <f aca="false">MAX(M3:M6)</f>
        <v>1</v>
      </c>
      <c r="N1" s="8" t="n">
        <f aca="false">MAX(N3:N6)</f>
        <v>1</v>
      </c>
      <c r="O1" s="8" t="n">
        <f aca="false">MAX(O3:O6)</f>
        <v>1</v>
      </c>
      <c r="P1" s="8" t="n">
        <f aca="false">MAX(P3:P6)</f>
        <v>1</v>
      </c>
      <c r="Q1" s="8" t="n">
        <f aca="false">MAX(Q3:Q6)</f>
        <v>0.977045820810297</v>
      </c>
      <c r="R1" s="8" t="n">
        <f aca="false">MAX(R3:R6)</f>
        <v>0.492</v>
      </c>
      <c r="S1" s="8" t="n">
        <f aca="false">MAX(S3:S6)</f>
        <v>1261.965089</v>
      </c>
      <c r="T1" s="8" t="n">
        <f aca="false">MAX(T3:T6)</f>
        <v>1225.28961267201</v>
      </c>
      <c r="U1" s="8" t="n">
        <f aca="false">MAX(U3:U6)</f>
        <v>0.7325767293528</v>
      </c>
      <c r="V1" s="9" t="n">
        <f aca="false">MAX(V3:V6)</f>
        <v>250</v>
      </c>
      <c r="W1" s="10" t="n">
        <f aca="false">MAX(W3:W6)</f>
        <v>695</v>
      </c>
      <c r="X1" s="10" t="n">
        <f aca="false">MAX(X3:X6)</f>
        <v>119.099386043685</v>
      </c>
      <c r="Y1" s="8" t="n">
        <f aca="false">MAX(Y3:Y6)</f>
        <v>0.505572883288535</v>
      </c>
    </row>
    <row r="2" customFormat="false" ht="15" hidden="false" customHeight="false" outlineLevel="0" collapsed="false">
      <c r="A2" s="11" t="s">
        <v>1</v>
      </c>
      <c r="B2" s="12" t="s">
        <v>2</v>
      </c>
      <c r="C2" s="12" t="s">
        <v>3</v>
      </c>
      <c r="D2" s="13" t="s">
        <v>4</v>
      </c>
      <c r="E2" s="14" t="s">
        <v>5</v>
      </c>
      <c r="F2" s="14" t="s">
        <v>6</v>
      </c>
      <c r="G2" s="14" t="s">
        <v>7</v>
      </c>
      <c r="H2" s="14" t="s">
        <v>8</v>
      </c>
      <c r="I2" s="14" t="s">
        <v>9</v>
      </c>
      <c r="J2" s="14" t="s">
        <v>10</v>
      </c>
      <c r="K2" s="14" t="s">
        <v>11</v>
      </c>
      <c r="L2" s="14" t="s">
        <v>12</v>
      </c>
      <c r="M2" s="14" t="s">
        <v>13</v>
      </c>
      <c r="N2" s="14" t="s">
        <v>14</v>
      </c>
      <c r="O2" s="14" t="s">
        <v>15</v>
      </c>
      <c r="P2" s="14" t="s">
        <v>16</v>
      </c>
      <c r="Q2" s="13" t="s">
        <v>17</v>
      </c>
      <c r="R2" s="15" t="s">
        <v>18</v>
      </c>
      <c r="S2" s="16" t="s">
        <v>19</v>
      </c>
      <c r="T2" s="16" t="s">
        <v>20</v>
      </c>
      <c r="U2" s="17" t="s">
        <v>21</v>
      </c>
      <c r="V2" s="18" t="s">
        <v>22</v>
      </c>
      <c r="W2" s="19" t="s">
        <v>23</v>
      </c>
      <c r="X2" s="20" t="s">
        <v>24</v>
      </c>
      <c r="Y2" s="21" t="s">
        <v>25</v>
      </c>
    </row>
    <row r="3" customFormat="false" ht="15" hidden="false" customHeight="true" outlineLevel="0" collapsed="false">
      <c r="A3" s="22" t="s">
        <v>26</v>
      </c>
      <c r="B3" s="23" t="n">
        <v>1</v>
      </c>
      <c r="C3" s="1" t="n">
        <v>0</v>
      </c>
      <c r="D3" s="3" t="n">
        <v>1</v>
      </c>
      <c r="E3" s="4" t="n">
        <v>1</v>
      </c>
      <c r="F3" s="4" t="n">
        <v>1</v>
      </c>
      <c r="G3" s="4" t="n">
        <v>1</v>
      </c>
      <c r="H3" s="4" t="n">
        <v>1</v>
      </c>
      <c r="I3" s="4" t="n">
        <v>0.5</v>
      </c>
      <c r="J3" s="4" t="n">
        <v>1</v>
      </c>
      <c r="K3" s="4" t="n">
        <v>0.5</v>
      </c>
      <c r="L3" s="4" t="n">
        <v>1</v>
      </c>
      <c r="M3" s="4" t="n">
        <v>1</v>
      </c>
      <c r="N3" s="4" t="n">
        <v>1</v>
      </c>
      <c r="O3" s="4" t="n">
        <v>1</v>
      </c>
      <c r="P3" s="4" t="n">
        <v>1</v>
      </c>
      <c r="Q3" s="3" t="n">
        <v>0.977045820810297</v>
      </c>
      <c r="R3" s="3" t="n">
        <v>0.347</v>
      </c>
      <c r="S3" s="2" t="n">
        <v>1108.235264</v>
      </c>
      <c r="T3" s="2" t="n">
        <f aca="false">Q3*S3</f>
        <v>1082.7966331658</v>
      </c>
      <c r="U3" s="5" t="n">
        <f aca="false">AVERAGE(Q3, R3)</f>
        <v>0.662022910405149</v>
      </c>
      <c r="V3" s="4" t="n">
        <f aca="false">D3*E3*F3*G3*H3*I3*J3*K3*L3*M3*N3*O3*P3*1000</f>
        <v>250</v>
      </c>
      <c r="W3" s="2" t="n">
        <v>510</v>
      </c>
      <c r="X3" s="4" t="n">
        <f aca="false">V3*Q3*R3</f>
        <v>84.7587249552933</v>
      </c>
      <c r="Y3" s="3" t="n">
        <f aca="false">R3/Q3</f>
        <v>0.355152227878342</v>
      </c>
    </row>
    <row r="4" customFormat="false" ht="15" hidden="false" customHeight="true" outlineLevel="0" collapsed="false">
      <c r="A4" s="22" t="s">
        <v>27</v>
      </c>
      <c r="B4" s="23" t="n">
        <v>1</v>
      </c>
      <c r="C4" s="1" t="n">
        <v>0</v>
      </c>
      <c r="D4" s="3" t="n">
        <v>0.995</v>
      </c>
      <c r="E4" s="4" t="n">
        <v>1</v>
      </c>
      <c r="F4" s="4" t="n">
        <v>1</v>
      </c>
      <c r="G4" s="4" t="n">
        <v>1</v>
      </c>
      <c r="H4" s="4" t="n">
        <v>0.5</v>
      </c>
      <c r="I4" s="4" t="n">
        <v>1</v>
      </c>
      <c r="J4" s="4" t="n">
        <v>1</v>
      </c>
      <c r="K4" s="4" t="n">
        <v>1</v>
      </c>
      <c r="L4" s="4" t="n">
        <v>0.5</v>
      </c>
      <c r="M4" s="4" t="n">
        <v>1</v>
      </c>
      <c r="N4" s="4" t="n">
        <v>1</v>
      </c>
      <c r="O4" s="4" t="n">
        <v>1</v>
      </c>
      <c r="P4" s="4" t="n">
        <v>1</v>
      </c>
      <c r="Q4" s="3" t="n">
        <v>0.9731534587056</v>
      </c>
      <c r="R4" s="3" t="n">
        <v>0.492</v>
      </c>
      <c r="S4" s="2" t="n">
        <v>1215.512154</v>
      </c>
      <c r="T4" s="2" t="n">
        <f aca="false">Q4*S4</f>
        <v>1182.87985676379</v>
      </c>
      <c r="U4" s="5" t="n">
        <f aca="false">AVERAGE(Q4, R4)</f>
        <v>0.7325767293528</v>
      </c>
      <c r="V4" s="4" t="n">
        <f aca="false">D4*E4*F4*G4*H4*I4*J4*K4*L4*M4*N4*O4*P4*1000</f>
        <v>248.75</v>
      </c>
      <c r="W4" s="2" t="n">
        <v>576</v>
      </c>
      <c r="X4" s="4" t="n">
        <f aca="false">V4*Q4*R4</f>
        <v>119.099386043685</v>
      </c>
      <c r="Y4" s="3" t="n">
        <f aca="false">R4/Q4</f>
        <v>0.505572883288535</v>
      </c>
    </row>
    <row r="5" customFormat="false" ht="15" hidden="false" customHeight="true" outlineLevel="0" collapsed="false">
      <c r="A5" s="22" t="s">
        <v>31</v>
      </c>
      <c r="B5" s="23" t="n">
        <v>1</v>
      </c>
      <c r="C5" s="1" t="n">
        <v>0</v>
      </c>
      <c r="D5" s="3" t="n">
        <v>0.995</v>
      </c>
      <c r="E5" s="4" t="n">
        <v>1</v>
      </c>
      <c r="F5" s="4" t="n">
        <v>1</v>
      </c>
      <c r="G5" s="4" t="n">
        <v>1</v>
      </c>
      <c r="H5" s="4" t="n">
        <v>1</v>
      </c>
      <c r="I5" s="4" t="n">
        <v>0.5</v>
      </c>
      <c r="J5" s="4" t="n">
        <v>1</v>
      </c>
      <c r="K5" s="4" t="n">
        <v>1</v>
      </c>
      <c r="L5" s="4" t="n">
        <v>0.5</v>
      </c>
      <c r="M5" s="4" t="n">
        <v>1</v>
      </c>
      <c r="N5" s="4" t="n">
        <v>1</v>
      </c>
      <c r="O5" s="4" t="n">
        <v>1</v>
      </c>
      <c r="P5" s="4" t="n">
        <v>1</v>
      </c>
      <c r="Q5" s="3" t="n">
        <v>0.970937804343659</v>
      </c>
      <c r="R5" s="3" t="n">
        <v>0.485</v>
      </c>
      <c r="S5" s="2" t="n">
        <v>1261.965089</v>
      </c>
      <c r="T5" s="2" t="n">
        <f aca="false">Q5*S5</f>
        <v>1225.28961267201</v>
      </c>
      <c r="U5" s="5" t="n">
        <f aca="false">AVERAGE(Q5, R5)</f>
        <v>0.727968902171829</v>
      </c>
      <c r="V5" s="4" t="n">
        <f aca="false">D5*E5*F5*G5*H5*I5*J5*K5*L5*M5*N5*O5*P5*1000</f>
        <v>248.75</v>
      </c>
      <c r="W5" s="2" t="n">
        <v>511</v>
      </c>
      <c r="X5" s="4" t="n">
        <f aca="false">V5*Q5*R5</f>
        <v>117.137577732785</v>
      </c>
      <c r="Y5" s="3" t="n">
        <f aca="false">R5/Q5</f>
        <v>0.49951706260717</v>
      </c>
    </row>
    <row r="6" customFormat="false" ht="15" hidden="false" customHeight="true" outlineLevel="0" collapsed="false">
      <c r="A6" s="22" t="s">
        <v>30</v>
      </c>
      <c r="B6" s="23" t="n">
        <v>2</v>
      </c>
      <c r="C6" s="1" t="n">
        <v>0</v>
      </c>
      <c r="D6" s="3" t="n">
        <v>0.995</v>
      </c>
      <c r="E6" s="4" t="n">
        <v>1</v>
      </c>
      <c r="F6" s="4" t="n">
        <v>1</v>
      </c>
      <c r="G6" s="4" t="n">
        <v>1</v>
      </c>
      <c r="H6" s="4" t="n">
        <v>1</v>
      </c>
      <c r="I6" s="4" t="n">
        <v>0.5</v>
      </c>
      <c r="J6" s="4" t="n">
        <v>1</v>
      </c>
      <c r="K6" s="4" t="n">
        <v>1</v>
      </c>
      <c r="L6" s="4" t="n">
        <v>0.5</v>
      </c>
      <c r="M6" s="4" t="n">
        <v>1</v>
      </c>
      <c r="N6" s="4" t="n">
        <v>1</v>
      </c>
      <c r="O6" s="4" t="n">
        <v>1</v>
      </c>
      <c r="P6" s="4" t="n">
        <v>1</v>
      </c>
      <c r="Q6" s="3" t="n">
        <v>0.970937804343659</v>
      </c>
      <c r="R6" s="3" t="n">
        <v>0.472</v>
      </c>
      <c r="S6" s="2" t="n">
        <v>1251.935991</v>
      </c>
      <c r="T6" s="2" t="n">
        <f aca="false">Q6*S6</f>
        <v>1215.55198228034</v>
      </c>
      <c r="U6" s="5" t="n">
        <f aca="false">AVERAGE(Q6, R6)</f>
        <v>0.72146890217183</v>
      </c>
      <c r="V6" s="4" t="n">
        <f aca="false">D6*E6*F6*G6*H6*I6*J6*K6*L6*M6*N6*O6*P6*1000</f>
        <v>248.75</v>
      </c>
      <c r="W6" s="2" t="n">
        <v>695</v>
      </c>
      <c r="X6" s="4" t="n">
        <f aca="false">V6*Q6*R6</f>
        <v>113.997807607989</v>
      </c>
      <c r="Y6" s="3" t="n">
        <f aca="false">R6/Q6</f>
        <v>0.486127945465122</v>
      </c>
    </row>
    <row r="7" customFormat="false" ht="15" hidden="false" customHeight="true" outlineLevel="0" collapsed="false">
      <c r="A7" s="20" t="s">
        <v>35</v>
      </c>
      <c r="B7" s="23" t="n">
        <v>3</v>
      </c>
      <c r="C7" s="1" t="n">
        <v>0</v>
      </c>
      <c r="D7" s="3" t="n">
        <v>0.995</v>
      </c>
      <c r="E7" s="4" t="n">
        <v>1</v>
      </c>
      <c r="F7" s="4" t="n">
        <v>1</v>
      </c>
      <c r="G7" s="4" t="n">
        <v>0.5</v>
      </c>
      <c r="H7" s="4" t="n">
        <v>1</v>
      </c>
      <c r="I7" s="4" t="n">
        <v>0.5</v>
      </c>
      <c r="J7" s="4" t="n">
        <v>1</v>
      </c>
      <c r="K7" s="4" t="n">
        <v>1</v>
      </c>
      <c r="L7" s="4" t="n">
        <v>0.5</v>
      </c>
      <c r="M7" s="4" t="n">
        <v>1</v>
      </c>
      <c r="N7" s="4" t="n">
        <v>1</v>
      </c>
      <c r="O7" s="4" t="n">
        <v>1</v>
      </c>
      <c r="P7" s="4" t="n">
        <v>1</v>
      </c>
      <c r="Q7" s="3" t="n">
        <v>0.966981278697337</v>
      </c>
      <c r="R7" s="3" t="n">
        <v>0.331</v>
      </c>
      <c r="S7" s="2" t="n">
        <v>1143.593</v>
      </c>
      <c r="T7" s="2" t="n">
        <f aca="false">Q7*S7</f>
        <v>1105.83302144932</v>
      </c>
      <c r="U7" s="5" t="n">
        <f aca="false">AVERAGE(Q7, R7)</f>
        <v>0.648990639348669</v>
      </c>
      <c r="V7" s="4" t="n">
        <f aca="false">D7*E7*F7*G7*H7*I7*J7*K7*L7*M7*N7*O7*P7*1000</f>
        <v>124.375</v>
      </c>
      <c r="W7" s="2" t="n">
        <v>625</v>
      </c>
      <c r="X7" s="4" t="n">
        <f aca="false">V7*Q7*R7</f>
        <v>39.8088061540718</v>
      </c>
      <c r="Y7" s="3" t="n">
        <f aca="false">R7/Q7</f>
        <v>0.342302387121605</v>
      </c>
    </row>
    <row r="8" customFormat="false" ht="15" hidden="false" customHeight="true" outlineLevel="0" collapsed="false">
      <c r="A8" s="20" t="s">
        <v>40</v>
      </c>
      <c r="B8" s="23" t="n">
        <v>2</v>
      </c>
      <c r="C8" s="1" t="n">
        <v>0</v>
      </c>
      <c r="D8" s="3" t="n">
        <v>1</v>
      </c>
      <c r="E8" s="4" t="n">
        <v>1</v>
      </c>
      <c r="F8" s="4" t="n">
        <v>1</v>
      </c>
      <c r="G8" s="4" t="n">
        <v>0.5</v>
      </c>
      <c r="H8" s="4" t="n">
        <v>1</v>
      </c>
      <c r="I8" s="4" t="n">
        <v>0.5</v>
      </c>
      <c r="J8" s="4" t="n">
        <v>1</v>
      </c>
      <c r="K8" s="4" t="n">
        <v>0.5</v>
      </c>
      <c r="L8" s="4" t="n">
        <v>0.5</v>
      </c>
      <c r="M8" s="4" t="n">
        <v>1</v>
      </c>
      <c r="N8" s="4" t="n">
        <v>1</v>
      </c>
      <c r="O8" s="4" t="n">
        <v>1</v>
      </c>
      <c r="P8" s="4" t="n">
        <v>1</v>
      </c>
      <c r="Q8" s="3" t="n">
        <v>0.9518101506719</v>
      </c>
      <c r="R8" s="3" t="n">
        <v>0.393</v>
      </c>
      <c r="S8" s="2" t="n">
        <v>1146.190448</v>
      </c>
      <c r="T8" s="2" t="n">
        <f aca="false">Q8*S8</f>
        <v>1090.95570300957</v>
      </c>
      <c r="U8" s="5" t="n">
        <f aca="false">AVERAGE(Q8, R8)</f>
        <v>0.67240507533595</v>
      </c>
      <c r="V8" s="4" t="n">
        <f aca="false">D8*E8*F8*G8*H8*I8*J8*K8*L8*M8*N8*O8*P8*1000</f>
        <v>62.5</v>
      </c>
      <c r="W8" s="2" t="n">
        <v>519</v>
      </c>
      <c r="X8" s="4" t="n">
        <f aca="false">V8*Q8*R8</f>
        <v>23.3788368258785</v>
      </c>
      <c r="Y8" s="3" t="n">
        <f aca="false">R8/Q8</f>
        <v>0.412897466708644</v>
      </c>
    </row>
    <row r="9" customFormat="false" ht="15" hidden="false" customHeight="true" outlineLevel="0" collapsed="false">
      <c r="A9" s="27" t="s">
        <v>41</v>
      </c>
      <c r="B9" s="23" t="n">
        <v>2</v>
      </c>
      <c r="C9" s="1" t="n">
        <v>0</v>
      </c>
      <c r="D9" s="3" t="n">
        <v>0.985</v>
      </c>
      <c r="E9" s="4" t="n">
        <v>1</v>
      </c>
      <c r="F9" s="4" t="n">
        <v>1</v>
      </c>
      <c r="G9" s="4" t="n">
        <v>0.5</v>
      </c>
      <c r="H9" s="4" t="n">
        <v>1</v>
      </c>
      <c r="I9" s="4" t="n">
        <v>0.5</v>
      </c>
      <c r="J9" s="4" t="n">
        <v>1</v>
      </c>
      <c r="K9" s="4" t="n">
        <v>0.5</v>
      </c>
      <c r="L9" s="4" t="n">
        <v>0.5</v>
      </c>
      <c r="M9" s="4" t="n">
        <v>1</v>
      </c>
      <c r="N9" s="4" t="n">
        <v>1</v>
      </c>
      <c r="O9" s="4" t="n">
        <v>1</v>
      </c>
      <c r="P9" s="4" t="n">
        <v>1</v>
      </c>
      <c r="Q9" s="3" t="n">
        <v>0.951725367979478</v>
      </c>
      <c r="R9" s="3" t="n">
        <v>0.402</v>
      </c>
      <c r="S9" s="2" t="n">
        <v>1170.179762</v>
      </c>
      <c r="T9" s="2" t="n">
        <f aca="false">Q9*S9</f>
        <v>1113.68976459159</v>
      </c>
      <c r="U9" s="5" t="n">
        <f aca="false">AVERAGE(Q9, R9)</f>
        <v>0.676862683989739</v>
      </c>
      <c r="V9" s="4" t="n">
        <f aca="false">D9*E9*F9*G9*H9*I9*J9*K9*L9*M9*N9*O9*P9*1000</f>
        <v>61.5625</v>
      </c>
      <c r="W9" s="2" t="n">
        <v>573</v>
      </c>
      <c r="X9" s="4" t="n">
        <f aca="false">V9*Q9*R9</f>
        <v>23.5534183724271</v>
      </c>
      <c r="Y9" s="3" t="n">
        <f aca="false">R9/Q9</f>
        <v>0.422390758432183</v>
      </c>
    </row>
    <row r="10" customFormat="false" ht="15" hidden="false" customHeight="true" outlineLevel="0" collapsed="false">
      <c r="A10" s="20" t="s">
        <v>37</v>
      </c>
      <c r="B10" s="2" t="n">
        <v>0.023905</v>
      </c>
      <c r="C10" s="1" t="n">
        <v>0</v>
      </c>
      <c r="D10" s="3" t="n">
        <v>1</v>
      </c>
      <c r="E10" s="4" t="n">
        <v>1</v>
      </c>
      <c r="F10" s="4" t="n">
        <v>1</v>
      </c>
      <c r="G10" s="4" t="n">
        <v>0.5</v>
      </c>
      <c r="H10" s="4" t="n">
        <v>1</v>
      </c>
      <c r="I10" s="4" t="n">
        <v>1</v>
      </c>
      <c r="J10" s="4" t="n">
        <v>1</v>
      </c>
      <c r="K10" s="4" t="n">
        <v>1</v>
      </c>
      <c r="L10" s="4" t="n">
        <v>1</v>
      </c>
      <c r="M10" s="4" t="n">
        <v>1</v>
      </c>
      <c r="N10" s="4" t="n">
        <v>0.5</v>
      </c>
      <c r="O10" s="4" t="n">
        <v>1</v>
      </c>
      <c r="P10" s="4" t="n">
        <v>0.5</v>
      </c>
      <c r="Q10" s="3" t="n">
        <v>0.713342583564223</v>
      </c>
      <c r="R10" s="3" t="n">
        <v>0.264</v>
      </c>
      <c r="S10" s="2" t="n">
        <v>1104.547427</v>
      </c>
      <c r="T10" s="2" t="n">
        <f aca="false">Q10*S10</f>
        <v>787.920715245395</v>
      </c>
      <c r="U10" s="5" t="n">
        <f aca="false">AVERAGE(Q10, R10)</f>
        <v>0.488671291782112</v>
      </c>
      <c r="V10" s="4" t="n">
        <f aca="false">D10*E10*F10*G10*H10*I10*J10*K10*L10*M10*N10*O10*P10*1000</f>
        <v>125</v>
      </c>
      <c r="X10" s="4" t="n">
        <f aca="false">V10*Q10*R10</f>
        <v>23.5403052576194</v>
      </c>
      <c r="Y10" s="3" t="n">
        <f aca="false">R10/Q10</f>
        <v>0.370088658777276</v>
      </c>
    </row>
    <row r="11" customFormat="false" ht="15" hidden="false" customHeight="true" outlineLevel="0" collapsed="false">
      <c r="A11" s="25" t="s">
        <v>38</v>
      </c>
      <c r="B11" s="23" t="n">
        <v>2</v>
      </c>
      <c r="C11" s="1" t="n">
        <v>0</v>
      </c>
      <c r="D11" s="3" t="n">
        <v>0.995</v>
      </c>
      <c r="E11" s="4" t="n">
        <v>1</v>
      </c>
      <c r="F11" s="4" t="n">
        <v>1</v>
      </c>
      <c r="G11" s="4" t="n">
        <v>1</v>
      </c>
      <c r="H11" s="4" t="n">
        <v>0.5</v>
      </c>
      <c r="I11" s="4" t="n">
        <v>1</v>
      </c>
      <c r="J11" s="4" t="n">
        <v>1</v>
      </c>
      <c r="K11" s="4" t="n">
        <v>0.5</v>
      </c>
      <c r="L11" s="4" t="n">
        <v>1</v>
      </c>
      <c r="M11" s="4" t="n">
        <v>1</v>
      </c>
      <c r="N11" s="4" t="n">
        <v>0.5</v>
      </c>
      <c r="O11" s="4" t="n">
        <v>1</v>
      </c>
      <c r="P11" s="4" t="n">
        <v>0.5</v>
      </c>
      <c r="Q11" s="3" t="n">
        <v>0.696532323485309</v>
      </c>
      <c r="R11" s="3" t="n">
        <v>0.251</v>
      </c>
      <c r="S11" s="2" t="n">
        <v>1143.952637</v>
      </c>
      <c r="T11" s="2" t="n">
        <f aca="false">Q11*S11</f>
        <v>796.799988206756</v>
      </c>
      <c r="U11" s="5" t="n">
        <f aca="false">AVERAGE(Q11, R11)</f>
        <v>0.473766161742655</v>
      </c>
      <c r="V11" s="4" t="n">
        <f aca="false">D11*E11*F11*G11*H11*I11*J11*K11*L11*M11*N11*O11*P11*1000</f>
        <v>62.1875</v>
      </c>
      <c r="W11" s="2" t="n">
        <v>554</v>
      </c>
      <c r="X11" s="4" t="n">
        <f aca="false">V11*Q11*R11</f>
        <v>10.8722165705524</v>
      </c>
      <c r="Y11" s="3" t="n">
        <f aca="false">R11/Q11</f>
        <v>0.360356571456793</v>
      </c>
    </row>
    <row r="1048541" customFormat="false" ht="13.8" hidden="false" customHeight="false" outlineLevel="0" collapsed="false"/>
    <row r="1048542" customFormat="false" ht="13.8" hidden="false" customHeight="false" outlineLevel="0" collapsed="false"/>
    <row r="1048543" customFormat="false" ht="13.8" hidden="false" customHeight="false" outlineLevel="0" collapsed="false"/>
    <row r="1048544" customFormat="false" ht="13.8" hidden="false" customHeight="false" outlineLevel="0" collapsed="false"/>
    <row r="1048545" customFormat="false" ht="13.8" hidden="false" customHeight="false" outlineLevel="0" collapsed="false"/>
    <row r="1048546" customFormat="false" ht="13.8" hidden="false" customHeight="false" outlineLevel="0" collapsed="false"/>
    <row r="1048547" customFormat="false" ht="13.8" hidden="false" customHeight="false" outlineLevel="0" collapsed="false"/>
    <row r="1048548" customFormat="false" ht="13.8" hidden="false" customHeight="false" outlineLevel="0" collapsed="false"/>
    <row r="1048549" customFormat="false" ht="13.8" hidden="false" customHeight="false" outlineLevel="0" collapsed="false"/>
    <row r="1048550" customFormat="false" ht="13.8" hidden="false" customHeight="false" outlineLevel="0" collapsed="false"/>
    <row r="1048551" customFormat="false" ht="13.8" hidden="false" customHeight="false" outlineLevel="0" collapsed="false"/>
    <row r="1048552" customFormat="false" ht="13.8" hidden="false" customHeight="false" outlineLevel="0" collapsed="false"/>
    <row r="1048553" customFormat="false" ht="13.8" hidden="false" customHeight="false" outlineLevel="0" collapsed="false"/>
    <row r="1048554" customFormat="false" ht="13.8" hidden="false" customHeight="false" outlineLevel="0" collapsed="false"/>
    <row r="1048555" customFormat="false" ht="13.8" hidden="false" customHeight="false" outlineLevel="0" collapsed="false"/>
    <row r="1048556" customFormat="false" ht="13.8" hidden="false" customHeight="false" outlineLevel="0" collapsed="false"/>
    <row r="1048557" customFormat="false" ht="13.8" hidden="false" customHeight="false" outlineLevel="0" collapsed="false"/>
    <row r="1048558" customFormat="false" ht="13.8" hidden="false" customHeight="false" outlineLevel="0" collapsed="false"/>
    <row r="1048559" customFormat="false" ht="13.8" hidden="false" customHeight="false" outlineLevel="0" collapsed="false"/>
    <row r="1048560" customFormat="false" ht="13.8" hidden="false" customHeight="false" outlineLevel="0" collapsed="false"/>
    <row r="1048561" customFormat="false" ht="13.8" hidden="false" customHeight="false" outlineLevel="0" collapsed="false"/>
    <row r="1048562" customFormat="false" ht="13.8" hidden="false" customHeight="false" outlineLevel="0" collapsed="false"/>
    <row r="1048563" customFormat="false" ht="13.8" hidden="false" customHeight="false" outlineLevel="0" collapsed="false"/>
    <row r="1048564" customFormat="false" ht="13.8" hidden="false" customHeight="false" outlineLevel="0" collapsed="false"/>
    <row r="1048565" customFormat="false" ht="13.8" hidden="false" customHeight="false" outlineLevel="0" collapsed="false"/>
    <row r="1048566" customFormat="false" ht="13.8" hidden="false" customHeight="false" outlineLevel="0" collapsed="false"/>
    <row r="1048567" customFormat="false" ht="13.8" hidden="false" customHeight="false" outlineLevel="0" collapsed="false"/>
    <row r="1048568" customFormat="false" ht="13.8" hidden="false" customHeight="false" outlineLevel="0" collapsed="false"/>
    <row r="1048569" customFormat="false" ht="13.8" hidden="false" customHeight="false" outlineLevel="0" collapsed="false"/>
    <row r="1048570" customFormat="false" ht="13.8" hidden="false" customHeight="false" outlineLevel="0" collapsed="false"/>
    <row r="1048571" customFormat="false" ht="12.8" hidden="false" customHeight="false" outlineLevel="0" collapsed="false"/>
    <row r="1048572" customFormat="false" ht="12.8" hidden="false" customHeight="fals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autoFilter ref="A2:Y11"/>
  <conditionalFormatting sqref="G1">
    <cfRule type="cellIs" priority="2" operator="lessThan" aboveAverage="0" equalAverage="0" bottom="0" percent="0" rank="0" text="" dxfId="12">
      <formula>1</formula>
    </cfRule>
  </conditionalFormatting>
  <conditionalFormatting sqref="E3:P41">
    <cfRule type="cellIs" priority="3" operator="equal" aboveAverage="0" equalAverage="0" bottom="0" percent="0" rank="0" text="" dxfId="13">
      <formula>1</formula>
    </cfRule>
  </conditionalFormatting>
  <conditionalFormatting sqref="S1:S1048576">
    <cfRule type="cellIs" priority="4" operator="greaterThan" aboveAverage="0" equalAverage="0" bottom="0" percent="0" rank="0" text="" dxfId="13">
      <formula>1100</formula>
    </cfRule>
  </conditionalFormatting>
  <conditionalFormatting sqref="E1:P1048576">
    <cfRule type="cellIs" priority="5" operator="lessThan" aboveAverage="0" equalAverage="0" bottom="0" percent="0" rank="0" text="" dxfId="14">
      <formula>0.5</formula>
    </cfRule>
  </conditionalFormatting>
  <conditionalFormatting sqref="T1:T1048576">
    <cfRule type="cellIs" priority="6" operator="greaterThan" aboveAverage="0" equalAverage="0" bottom="0" percent="0" rank="0" text="" dxfId="15">
      <formula>800</formula>
    </cfRule>
  </conditionalFormatting>
  <conditionalFormatting sqref="Q1:Q1048576 T7:T11">
    <cfRule type="cellIs" priority="7" operator="greaterThan" aboveAverage="0" equalAverage="0" bottom="0" percent="0" rank="0" text="" dxfId="15">
      <formula>0.75</formula>
    </cfRule>
    <cfRule type="cellIs" priority="8" operator="lessThan" aboveAverage="0" equalAverage="0" bottom="0" percent="0" rank="0" text="" dxfId="16">
      <formula>0.6</formula>
    </cfRule>
  </conditionalFormatting>
  <conditionalFormatting sqref="X1:Y1 W1:W1048576">
    <cfRule type="cellIs" priority="9" operator="greaterThan" aboveAverage="0" equalAverage="0" bottom="0" percent="0" rank="0" text="" dxfId="15">
      <formula>600</formula>
    </cfRule>
  </conditionalFormatting>
  <conditionalFormatting sqref="U1:U1048576">
    <cfRule type="cellIs" priority="10" operator="greaterThan" aboveAverage="0" equalAverage="0" bottom="0" percent="0" rank="0" text="" dxfId="15">
      <formula>0.55</formula>
    </cfRule>
  </conditionalFormatting>
  <conditionalFormatting sqref="U7:U11 V1:V1048576">
    <cfRule type="cellIs" priority="11" operator="greaterThan" aboveAverage="0" equalAverage="0" bottom="0" percent="0" rank="0" text="" dxfId="15">
      <formula>0</formula>
    </cfRule>
  </conditionalFormatting>
  <conditionalFormatting sqref="R1:R1048576 V7:V11">
    <cfRule type="cellIs" priority="12" operator="greaterThan" aboveAverage="0" equalAverage="0" bottom="0" percent="0" rank="0" text="" dxfId="17">
      <formula>0.45</formula>
    </cfRule>
  </conditionalFormatting>
  <conditionalFormatting sqref="Y1 X1:X1048576">
    <cfRule type="cellIs" priority="13" operator="greaterThan" aboveAverage="0" equalAverage="0" bottom="0" percent="0" rank="0" text="" dxfId="17">
      <formula>100</formula>
    </cfRule>
  </conditionalFormatting>
  <conditionalFormatting sqref="Y1:Y1048576">
    <cfRule type="cellIs" priority="14" operator="greaterThan" aboveAverage="0" equalAverage="0" bottom="0" percent="0" rank="0" text="" dxfId="17">
      <formula>0.5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32342</TotalTime>
  <Application>LibreOffice/25.2.7.2$Windows_X86_64 LibreOffice_project/5cbfd1ab6520636bb5f7b99185aa69bd7456825d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2026-03-08T15:13:16Z</dcterms:created>
  <dc:creator/>
  <dc:description/>
  <dc:language>en-GB</dc:language>
  <cp:lastModifiedBy/>
  <dcterms:modified xsi:type="dcterms:W3CDTF">2026-04-17T12:33:42Z</dcterms:modified>
  <cp:revision>334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