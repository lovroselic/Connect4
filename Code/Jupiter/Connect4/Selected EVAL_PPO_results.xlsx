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Bases" sheetId="2" state="visible" r:id="rId4"/>
  </sheets>
  <definedNames>
    <definedName function="false" hidden="true" localSheetId="1" name="_xlnm._FilterDatabase" vbProcedure="false">Bases!$A$1:$Y$5</definedName>
    <definedName function="false" hidden="true" localSheetId="0" name="_xlnm._FilterDatabase" vbProcedure="false">Main!$A$2:$Y$5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<sst xmlns="http://schemas.openxmlformats.org/spreadsheetml/2006/main" count="59" uniqueCount="34">
  <si>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</si>
  <si>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</si>
  <si>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</si>
  <si>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</si>
  <si>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</si>
  <si>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</si>
  <si>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</si>
  <si>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</si>
  <si>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</si>
  <si>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</si>
  <si>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</si>
  <si>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</si>
  <si>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</si>
  <si>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</si>
  <si>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</si>
  <si>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</si>
  <si>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</si>
  <si>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</si>
  <si>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</si>
  <si>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</si>
  <si>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</si>
  <si>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</si>
  <si>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</si>
  <si>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</si>
  <si>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</si>
  <si>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</si>
  <si>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PPO_1004</t>
  </si>
  <si>
    <t xml:space="preserve">PPO_859</t>
  </si>
  <si>
    <t xml:space="preserve">PPO_1005</t>
  </si>
  <si>
    <t xml:space="preserve">PPO_926</t>
  </si>
  <si>
    <t xml:space="preserve">BASE_10</t>
  </si>
  <si>
    <t xml:space="preserve">BASE_9</t>
  </si>
  <si>
    <t xml:space="preserve">BASE_11a</t>
  </si>
  <si>
    <t xml:space="preserve">BASE_8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</si>
</sst>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"/>
    <numFmt numFmtId="167" formatCode="0.0"/>
    <numFmt numFmtId="168" formatCode="0.00"/>
  </numFmts>
  <fonts count="7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BF00"/>
        <bgColor rgb="FFACB20C"/>
      </patternFill>
    </fill>
    <fill>
      <patternFill patternType="solid">
        <fgColor rgb="FFFF8000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729FCF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5EB91E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b val="1"/>
        <color rgb="FFFFFFFF"/>
        <sz val="11"/>
      </font>
      <fill>
        <patternFill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C0C0C0"/>
      <rgbColor rgb="FF808080"/>
      <rgbColor rgb="FF729FCF"/>
      <rgbColor rgb="FF993366"/>
      <rgbColor rgb="FFFFFFCC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BF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5" activeCellId="0" sqref="A5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5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1</v>
      </c>
      <c r="R1" s="8" t="n">
        <f aca="false">MAX(R3:R4)</f>
        <v>0.524</v>
      </c>
      <c r="S1" s="8" t="n">
        <f aca="false">MAX(S3:S4)</f>
        <v>1367.670305</v>
      </c>
      <c r="T1" s="8" t="n">
        <f aca="false">MAX(T3:T4)</f>
        <v>1367.670305</v>
      </c>
      <c r="U1" s="8" t="n">
        <f aca="false">MAX(U3:U4)</f>
        <v>0.762</v>
      </c>
      <c r="V1" s="9" t="n">
        <f aca="false">MAX(V3:V4)</f>
        <v>1000</v>
      </c>
      <c r="W1" s="10" t="n">
        <f aca="false">MAX(W3:W4)</f>
        <v>725</v>
      </c>
      <c r="X1" s="10" t="n">
        <f aca="false">MAX(X3:X4)</f>
        <v>524</v>
      </c>
      <c r="Y1" s="8" t="n">
        <f aca="false">MAX(Y3:Y4)</f>
        <v>0.524</v>
      </c>
    </row>
    <row r="2" customFormat="false" ht="15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3" t="n">
        <v>1</v>
      </c>
      <c r="C3" s="1" t="n">
        <v>0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1</v>
      </c>
      <c r="J3" s="4" t="n">
        <v>1</v>
      </c>
      <c r="K3" s="4" t="n">
        <v>1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1</v>
      </c>
      <c r="R3" s="3" t="n">
        <v>0.524</v>
      </c>
      <c r="S3" s="2" t="n">
        <v>1367.670305</v>
      </c>
      <c r="T3" s="2" t="n">
        <f aca="false">Q3*S3</f>
        <v>1367.670305</v>
      </c>
      <c r="U3" s="5" t="n">
        <f aca="false">AVERAGE(Q3, R3)</f>
        <v>0.762</v>
      </c>
      <c r="V3" s="4" t="n">
        <f aca="false">D3*E3*F3*G3*H3*I3*J3*K3*L3*M3*N3*O3*P3*1000</f>
        <v>1000</v>
      </c>
      <c r="W3" s="1" t="n">
        <v>725</v>
      </c>
      <c r="X3" s="4" t="n">
        <f aca="false">V3*Q3*R3</f>
        <v>524</v>
      </c>
      <c r="Y3" s="3" t="n">
        <f aca="false">R3/Q3</f>
        <v>0.524</v>
      </c>
    </row>
    <row r="4" customFormat="false" ht="15" hidden="false" customHeight="true" outlineLevel="0" collapsed="false">
      <c r="A4" s="20" t="s">
        <v>27</v>
      </c>
      <c r="B4" s="23" t="n">
        <v>1</v>
      </c>
      <c r="C4" s="1" t="n">
        <v>0</v>
      </c>
      <c r="D4" s="3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0.992245209733209</v>
      </c>
      <c r="R4" s="3" t="n">
        <v>0.412</v>
      </c>
      <c r="S4" s="2" t="n">
        <v>1161.870481</v>
      </c>
      <c r="T4" s="2" t="n">
        <f aca="false">Q4*S4</f>
        <v>1152.86041910267</v>
      </c>
      <c r="U4" s="5" t="n">
        <f aca="false">AVERAGE(Q4, R4)</f>
        <v>0.702122604866605</v>
      </c>
      <c r="V4" s="4" t="n">
        <f aca="false">D4*E4*F4*G4*H4*I4*J4*K4*L4*M4*N4*O4*P4*1000</f>
        <v>500</v>
      </c>
      <c r="X4" s="4" t="n">
        <f aca="false">V4*Q4*R4</f>
        <v>204.402513205041</v>
      </c>
      <c r="Y4" s="3" t="n">
        <f aca="false">R4/Q4</f>
        <v>0.415219943577029</v>
      </c>
    </row>
    <row r="5" customFormat="false" ht="15" hidden="false" customHeight="true" outlineLevel="0" collapsed="false">
      <c r="A5" s="20" t="s">
        <v>28</v>
      </c>
      <c r="B5" s="23" t="n">
        <v>1</v>
      </c>
      <c r="C5" s="1" t="n">
        <v>0</v>
      </c>
      <c r="D5" s="3" t="n">
        <v>0.99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P5" s="4" t="n">
        <v>0.5</v>
      </c>
      <c r="Q5" s="3" t="n">
        <v>0.775632559901853</v>
      </c>
      <c r="R5" s="3" t="n">
        <v>0.346</v>
      </c>
      <c r="S5" s="2" t="n">
        <v>1287.815</v>
      </c>
      <c r="T5" s="2" t="n">
        <f aca="false">Q5*S5</f>
        <v>998.871245130005</v>
      </c>
      <c r="U5" s="5" t="n">
        <f aca="false">AVERAGE(Q5, R5)</f>
        <v>0.560816279950926</v>
      </c>
      <c r="V5" s="4" t="n">
        <f aca="false">D5*E5*F5*G5*H5*I5*J5*K5*L5*M5*N5*O5*P5*1000</f>
        <v>495</v>
      </c>
      <c r="X5" s="4" t="n">
        <f aca="false">V5*Q5*R5</f>
        <v>132.84258853439</v>
      </c>
      <c r="Y5" s="3" t="n">
        <f aca="false">R5/Q5</f>
        <v>0.446087513453254</v>
      </c>
    </row>
    <row r="6" customFormat="false" ht="15" hidden="false" customHeight="true" outlineLevel="0" collapsed="false">
      <c r="A6" s="20" t="s">
        <v>29</v>
      </c>
      <c r="B6" s="23" t="n">
        <v>1</v>
      </c>
      <c r="C6" s="1" t="n">
        <v>0</v>
      </c>
      <c r="D6" s="3" t="n">
        <v>0.98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0.5</v>
      </c>
      <c r="O6" s="4" t="n">
        <v>1</v>
      </c>
      <c r="P6" s="4" t="n">
        <v>0.5</v>
      </c>
      <c r="Q6" s="3" t="n">
        <v>0.71718606562065</v>
      </c>
      <c r="R6" s="3" t="n">
        <v>0.307</v>
      </c>
      <c r="S6" s="2" t="n">
        <v>1109.295154</v>
      </c>
      <c r="T6" s="2" t="n">
        <f aca="false">Q6*S6</f>
        <v>795.571027109313</v>
      </c>
      <c r="U6" s="5" t="n">
        <f aca="false">AVERAGE(Q6, R6)</f>
        <v>0.512093032810325</v>
      </c>
      <c r="V6" s="4" t="n">
        <f aca="false">D6*E6*F6*G6*H6*I6*J6*K6*L6*M6*N6*O6*P6*1000</f>
        <v>245</v>
      </c>
      <c r="X6" s="4" t="n">
        <f aca="false">V6*Q6*R6</f>
        <v>53.9431499256572</v>
      </c>
      <c r="Y6" s="3" t="n">
        <f aca="false">R6/Q6</f>
        <v>0.428061858304962</v>
      </c>
    </row>
    <row r="1048576" customFormat="false" ht="12.8" hidden="false" customHeight="false" outlineLevel="0" collapsed="false"/>
  </sheetData>
  <autoFilter ref="A2:Y5"/>
  <conditionalFormatting sqref="G1">
    <cfRule type="cellIs" priority="2" operator="lessThan" aboveAverage="0" equalAverage="0" bottom="0" percent="0" rank="0" text="" dxfId="12">
      <formula>1</formula>
    </cfRule>
  </conditionalFormatting>
  <conditionalFormatting sqref="E3:P4">
    <cfRule type="cellIs" priority="3" operator="equal" aboveAverage="0" equalAverage="0" bottom="0" percent="0" rank="0" text="" dxfId="13">
      <formula>1</formula>
    </cfRule>
  </conditionalFormatting>
  <conditionalFormatting sqref="S1:S1048576">
    <cfRule type="cellIs" priority="4" operator="greaterThan" aboveAverage="0" equalAverage="0" bottom="0" percent="0" rank="0" text="" dxfId="13">
      <formula>1100</formula>
    </cfRule>
  </conditionalFormatting>
  <conditionalFormatting sqref="E1:P1048576">
    <cfRule type="cellIs" priority="5" operator="lessThan" aboveAverage="0" equalAverage="0" bottom="0" percent="0" rank="0" text="" dxfId="14">
      <formula>0.5</formula>
    </cfRule>
    <cfRule type="cellIs" priority="6" operator="greaterThan" aboveAverage="0" equalAverage="0" bottom="0" percent="0" rank="0" text="" dxfId="15">
      <formula>0.5</formula>
    </cfRule>
  </conditionalFormatting>
  <conditionalFormatting sqref="T7:T1048576 T1:T4">
    <cfRule type="cellIs" priority="7" operator="greaterThan" aboveAverage="0" equalAverage="0" bottom="0" percent="0" rank="0" text="" dxfId="16">
      <formula>800</formula>
    </cfRule>
  </conditionalFormatting>
  <conditionalFormatting sqref="Q1:Q1048576">
    <cfRule type="cellIs" priority="8" operator="greaterThan" aboveAverage="0" equalAverage="0" bottom="0" percent="0" rank="0" text="" dxfId="16">
      <formula>0.75</formula>
    </cfRule>
    <cfRule type="cellIs" priority="9" operator="lessThan" aboveAverage="0" equalAverage="0" bottom="0" percent="0" rank="0" text="" dxfId="17">
      <formula>0.6</formula>
    </cfRule>
  </conditionalFormatting>
  <conditionalFormatting sqref="X1:Y1 W1:W1048576">
    <cfRule type="cellIs" priority="10" operator="greaterThan" aboveAverage="0" equalAverage="0" bottom="0" percent="0" rank="0" text="" dxfId="16">
      <formula>600</formula>
    </cfRule>
  </conditionalFormatting>
  <conditionalFormatting sqref="U1:U1048576">
    <cfRule type="cellIs" priority="11" operator="greaterThan" aboveAverage="0" equalAverage="0" bottom="0" percent="0" rank="0" text="" dxfId="16">
      <formula>0.55</formula>
    </cfRule>
  </conditionalFormatting>
  <conditionalFormatting sqref="V1:V1048576">
    <cfRule type="cellIs" priority="12" operator="greaterThan" aboveAverage="0" equalAverage="0" bottom="0" percent="0" rank="0" text="" dxfId="16">
      <formula>0</formula>
    </cfRule>
  </conditionalFormatting>
  <conditionalFormatting sqref="Y1 X1:X1048576">
    <cfRule type="cellIs" priority="13" operator="greaterThan" aboveAverage="0" equalAverage="0" bottom="0" percent="0" rank="0" text="" dxfId="18">
      <formula>100</formula>
    </cfRule>
  </conditionalFormatting>
  <conditionalFormatting sqref="Y1:Y1048576">
    <cfRule type="cellIs" priority="14" operator="greaterThan" aboveAverage="0" equalAverage="0" bottom="0" percent="0" rank="0" text="" dxfId="18">
      <formula>0.5</formula>
    </cfRule>
  </conditionalFormatting>
  <conditionalFormatting sqref="T5:T6">
    <cfRule type="cellIs" priority="15" operator="greaterThan" aboveAverage="0" equalAverage="0" bottom="0" percent="0" rank="0" text="" dxfId="16">
      <formula>800</formula>
    </cfRule>
  </conditionalFormatting>
  <conditionalFormatting sqref="R1:R1048576">
    <cfRule type="cellIs" priority="16" operator="greaterThan" aboveAverage="0" equalAverage="0" bottom="0" percent="0" rank="0" text="" dxfId="19">
      <formula>0.45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S8" activeCellId="0" sqref="S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5" hidden="false" customHeight="false" outlineLevel="0" collapsed="false">
      <c r="A1" s="11" t="s">
        <v>1</v>
      </c>
      <c r="B1" s="12" t="s">
        <v>2</v>
      </c>
      <c r="C1" s="12" t="s">
        <v>3</v>
      </c>
      <c r="D1" s="13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14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3" t="s">
        <v>17</v>
      </c>
      <c r="R1" s="15" t="s">
        <v>18</v>
      </c>
      <c r="S1" s="16" t="s">
        <v>19</v>
      </c>
      <c r="T1" s="16" t="s">
        <v>20</v>
      </c>
      <c r="U1" s="17" t="s">
        <v>21</v>
      </c>
      <c r="V1" s="18" t="s">
        <v>22</v>
      </c>
      <c r="W1" s="19" t="s">
        <v>23</v>
      </c>
      <c r="X1" s="20" t="s">
        <v>24</v>
      </c>
      <c r="Y1" s="21" t="s">
        <v>25</v>
      </c>
    </row>
    <row r="2" customFormat="false" ht="15" hidden="false" customHeight="true" outlineLevel="0" collapsed="false">
      <c r="A2" s="24" t="s">
        <v>30</v>
      </c>
      <c r="B2" s="25" t="n">
        <v>99</v>
      </c>
      <c r="C2" s="1" t="n">
        <v>0</v>
      </c>
      <c r="D2" s="3" t="n">
        <v>1</v>
      </c>
      <c r="E2" s="4" t="n">
        <v>1</v>
      </c>
      <c r="F2" s="4" t="n">
        <v>1</v>
      </c>
      <c r="G2" s="4" t="n">
        <v>1</v>
      </c>
      <c r="H2" s="4" t="n">
        <v>0.5</v>
      </c>
      <c r="I2" s="4" t="n">
        <v>1</v>
      </c>
      <c r="J2" s="4" t="n">
        <v>1</v>
      </c>
      <c r="K2" s="4" t="n">
        <v>0.5</v>
      </c>
      <c r="L2" s="4" t="n">
        <v>1</v>
      </c>
      <c r="M2" s="4" t="n">
        <v>0.5</v>
      </c>
      <c r="N2" s="4" t="n">
        <v>0.5</v>
      </c>
      <c r="O2" s="4" t="n">
        <v>0</v>
      </c>
      <c r="P2" s="4" t="n">
        <v>0</v>
      </c>
      <c r="Q2" s="3" t="n">
        <v>0.213570171644556</v>
      </c>
      <c r="R2" s="3" t="n">
        <v>0.212</v>
      </c>
      <c r="S2" s="2" t="n">
        <v>1215.754174</v>
      </c>
      <c r="T2" s="2" t="n">
        <f aca="false">Q2*S2</f>
        <v>259.648827618765</v>
      </c>
      <c r="U2" s="5" t="n">
        <f aca="false">AVERAGE(Q2, R2)</f>
        <v>0.212785085822278</v>
      </c>
      <c r="V2" s="4" t="n">
        <f aca="false">D2*E2*F2*G2*H2*I2*J2*K2*L2*M2*N2*O2*P2*1000</f>
        <v>0</v>
      </c>
      <c r="X2" s="4" t="n">
        <f aca="false">V2*Q2*R2</f>
        <v>0</v>
      </c>
      <c r="Y2" s="3" t="n">
        <f aca="false">R2/Q2</f>
        <v>0.992647982475899</v>
      </c>
    </row>
    <row r="3" customFormat="false" ht="15" hidden="false" customHeight="true" outlineLevel="0" collapsed="false">
      <c r="A3" s="24" t="s">
        <v>31</v>
      </c>
      <c r="B3" s="25" t="n">
        <v>99</v>
      </c>
      <c r="C3" s="1" t="n">
        <v>0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0.5</v>
      </c>
      <c r="N3" s="4" t="n">
        <v>0.5</v>
      </c>
      <c r="O3" s="4" t="n">
        <v>0</v>
      </c>
      <c r="P3" s="4" t="n">
        <v>0</v>
      </c>
      <c r="Q3" s="3" t="n">
        <v>0.211354517282616</v>
      </c>
      <c r="R3" s="3" t="n">
        <v>0.15</v>
      </c>
      <c r="S3" s="2" t="n">
        <v>998.411</v>
      </c>
      <c r="T3" s="2" t="n">
        <f aca="false">Q3*S3</f>
        <v>211.018674954654</v>
      </c>
      <c r="U3" s="5" t="n">
        <f aca="false">AVERAGE(Q3, R3)</f>
        <v>0.180677258641308</v>
      </c>
      <c r="V3" s="4" t="n">
        <f aca="false">D3*E3*F3*G3*H3*I3*J3*K3*L3*M3*N3*O3*P3*1000</f>
        <v>0</v>
      </c>
      <c r="X3" s="4" t="n">
        <f aca="false">V3*Q3*R3</f>
        <v>0</v>
      </c>
      <c r="Y3" s="3" t="n">
        <f aca="false">R3/Q3</f>
        <v>0.709708039026321</v>
      </c>
    </row>
    <row r="4" customFormat="false" ht="15" hidden="false" customHeight="true" outlineLevel="0" collapsed="false">
      <c r="A4" s="1" t="s">
        <v>32</v>
      </c>
      <c r="B4" s="2" t="n">
        <v>0.018735</v>
      </c>
      <c r="C4" s="1" t="n">
        <v>0</v>
      </c>
      <c r="D4" s="3" t="n">
        <v>0.99</v>
      </c>
      <c r="E4" s="4" t="n">
        <v>1</v>
      </c>
      <c r="F4" s="4" t="n">
        <v>1</v>
      </c>
      <c r="G4" s="4" t="n">
        <v>0.5</v>
      </c>
      <c r="H4" s="4" t="n">
        <v>0.5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0.5</v>
      </c>
      <c r="N4" s="4" t="n">
        <v>0.5</v>
      </c>
      <c r="O4" s="4" t="n">
        <v>0</v>
      </c>
      <c r="P4" s="4" t="n">
        <v>0</v>
      </c>
      <c r="Q4" s="3" t="n">
        <v>0.201802333936495</v>
      </c>
      <c r="R4" s="3" t="n">
        <v>0.187</v>
      </c>
      <c r="S4" s="2" t="n">
        <v>1227.076712</v>
      </c>
      <c r="T4" s="2" t="n">
        <f aca="false">Q4*S4</f>
        <v>247.62694440072</v>
      </c>
      <c r="U4" s="5" t="n">
        <f aca="false">AVERAGE(Q4, R4)</f>
        <v>0.194401166968248</v>
      </c>
      <c r="V4" s="4" t="n">
        <f aca="false">D4*E4*F4*G4*H4*I4*J4*K4*L4*M4*N4*O4*P4*1000</f>
        <v>0</v>
      </c>
      <c r="X4" s="4" t="n">
        <f aca="false">V4*Q4*R4</f>
        <v>0</v>
      </c>
      <c r="Y4" s="3" t="n">
        <f aca="false">R4/Q4</f>
        <v>0.926649342216463</v>
      </c>
    </row>
    <row r="5" customFormat="false" ht="15" hidden="false" customHeight="true" outlineLevel="0" collapsed="false">
      <c r="A5" s="24" t="s">
        <v>33</v>
      </c>
      <c r="B5" s="25" t="n">
        <v>99</v>
      </c>
      <c r="C5" s="1" t="n">
        <v>0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0</v>
      </c>
      <c r="L5" s="4" t="n">
        <v>0.5</v>
      </c>
      <c r="M5" s="4" t="n">
        <v>0</v>
      </c>
      <c r="N5" s="4" t="n">
        <v>0</v>
      </c>
      <c r="O5" s="4" t="n">
        <v>0</v>
      </c>
      <c r="P5" s="4" t="n">
        <v>0</v>
      </c>
      <c r="Q5" s="3" t="n">
        <v>0.0866669481949934</v>
      </c>
      <c r="R5" s="3" t="n">
        <v>0.179</v>
      </c>
      <c r="S5" s="2" t="n">
        <v>983.426</v>
      </c>
      <c r="T5" s="2" t="n">
        <f aca="false">Q5*S5</f>
        <v>85.2305301956096</v>
      </c>
      <c r="U5" s="5" t="n">
        <f aca="false">AVERAGE(Q5, R5)</f>
        <v>0.132833474097497</v>
      </c>
      <c r="V5" s="4" t="n">
        <f aca="false">D5*E5*F5*G5*H5*I5*J5*K5*L5*M5*N5*O5*P5*1000</f>
        <v>0</v>
      </c>
      <c r="X5" s="4" t="n">
        <f aca="false">V5*Q5*R5</f>
        <v>0</v>
      </c>
      <c r="Y5" s="3" t="n">
        <f aca="false">R5/Q5</f>
        <v>2.06537790620324</v>
      </c>
    </row>
    <row r="1048491" customFormat="false" ht="13.8" hidden="false" customHeight="false" outlineLevel="0" collapsed="false"/>
    <row r="1048492" customFormat="false" ht="13.8" hidden="false" customHeight="false" outlineLevel="0" collapsed="false"/>
    <row r="1048493" customFormat="false" ht="13.8" hidden="false" customHeight="false" outlineLevel="0" collapsed="false"/>
    <row r="1048494" customFormat="false" ht="13.8" hidden="false" customHeight="false" outlineLevel="0" collapsed="false"/>
    <row r="1048495" customFormat="false" ht="13.8" hidden="false" customHeight="false" outlineLevel="0" collapsed="false"/>
    <row r="1048496" customFormat="false" ht="13.8" hidden="false" customHeight="false" outlineLevel="0" collapsed="false"/>
    <row r="1048497" customFormat="false" ht="13.8" hidden="false" customHeight="false" outlineLevel="0" collapsed="false"/>
    <row r="1048498" customFormat="false" ht="13.8" hidden="false" customHeight="false" outlineLevel="0" collapsed="false"/>
    <row r="1048499" customFormat="false" ht="13.8" hidden="false" customHeight="false" outlineLevel="0" collapsed="false"/>
    <row r="1048500" customFormat="false" ht="13.8" hidden="false" customHeight="false" outlineLevel="0" collapsed="false"/>
    <row r="1048501" customFormat="false" ht="13.8" hidden="false" customHeight="false" outlineLevel="0" collapsed="false"/>
    <row r="1048502" customFormat="false" ht="13.8" hidden="false" customHeight="false" outlineLevel="0" collapsed="false"/>
    <row r="1048503" customFormat="false" ht="13.8" hidden="false" customHeight="false" outlineLevel="0" collapsed="false"/>
    <row r="1048504" customFormat="false" ht="13.8" hidden="false" customHeight="false" outlineLevel="0" collapsed="false"/>
    <row r="1048505" customFormat="false" ht="13.8" hidden="false" customHeight="false" outlineLevel="0" collapsed="false"/>
    <row r="1048506" customFormat="false" ht="13.8" hidden="false" customHeight="false" outlineLevel="0" collapsed="false"/>
    <row r="1048507" customFormat="false" ht="13.8" hidden="false" customHeight="false" outlineLevel="0" collapsed="false"/>
    <row r="1048508" customFormat="false" ht="13.8" hidden="false" customHeight="false" outlineLevel="0" collapsed="false"/>
    <row r="1048509" customFormat="false" ht="13.8" hidden="false" customHeight="false" outlineLevel="0" collapsed="false"/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Y5"/>
  <conditionalFormatting sqref="S1:S1048576">
    <cfRule type="cellIs" priority="2" operator="greaterThan" aboveAverage="0" equalAverage="0" bottom="0" percent="0" rank="0" text="" dxfId="13">
      <formula>1100</formula>
    </cfRule>
  </conditionalFormatting>
  <conditionalFormatting sqref="E1:P1048576">
    <cfRule type="cellIs" priority="3" operator="lessThan" aboveAverage="0" equalAverage="0" bottom="0" percent="0" rank="0" text="" dxfId="14">
      <formula>0.5</formula>
    </cfRule>
    <cfRule type="cellIs" priority="4" operator="greaterThan" aboveAverage="0" equalAverage="0" bottom="0" percent="0" rank="0" text="" dxfId="15">
      <formula>0.5</formula>
    </cfRule>
  </conditionalFormatting>
  <conditionalFormatting sqref="T1:T1048576">
    <cfRule type="cellIs" priority="5" operator="greaterThan" aboveAverage="0" equalAverage="0" bottom="0" percent="0" rank="0" text="" dxfId="16">
      <formula>800</formula>
    </cfRule>
  </conditionalFormatting>
  <conditionalFormatting sqref="Q1:Q1048576">
    <cfRule type="cellIs" priority="6" operator="greaterThan" aboveAverage="0" equalAverage="0" bottom="0" percent="0" rank="0" text="" dxfId="16">
      <formula>0.75</formula>
    </cfRule>
    <cfRule type="cellIs" priority="7" operator="lessThan" aboveAverage="0" equalAverage="0" bottom="0" percent="0" rank="0" text="" dxfId="17">
      <formula>0.6</formula>
    </cfRule>
  </conditionalFormatting>
  <conditionalFormatting sqref="W1:W1048576">
    <cfRule type="cellIs" priority="8" operator="greaterThan" aboveAverage="0" equalAverage="0" bottom="0" percent="0" rank="0" text="" dxfId="16">
      <formula>600</formula>
    </cfRule>
  </conditionalFormatting>
  <conditionalFormatting sqref="U1:U1048576">
    <cfRule type="cellIs" priority="9" operator="greaterThan" aboveAverage="0" equalAverage="0" bottom="0" percent="0" rank="0" text="" dxfId="16">
      <formula>0.55</formula>
    </cfRule>
  </conditionalFormatting>
  <conditionalFormatting sqref="V1:V1048576">
    <cfRule type="cellIs" priority="10" operator="greaterThan" aboveAverage="0" equalAverage="0" bottom="0" percent="0" rank="0" text="" dxfId="16">
      <formula>0</formula>
    </cfRule>
  </conditionalFormatting>
  <conditionalFormatting sqref="R1:R1048576">
    <cfRule type="cellIs" priority="11" operator="greaterThan" aboveAverage="0" equalAverage="0" bottom="0" percent="0" rank="0" text="" dxfId="18">
      <formula>0.45</formula>
    </cfRule>
  </conditionalFormatting>
  <conditionalFormatting sqref="X1:X1048576">
    <cfRule type="cellIs" priority="12" operator="greaterThan" aboveAverage="0" equalAverage="0" bottom="0" percent="0" rank="0" text="" dxfId="18">
      <formula>100</formula>
    </cfRule>
  </conditionalFormatting>
  <conditionalFormatting sqref="Y1:Y1048576">
    <cfRule type="cellIs" priority="13" operator="greaterThan" aboveAverage="0" equalAverage="0" bottom="0" percent="0" rank="0" text="" dxfId="18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49039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2026-05-02T22:54:46Z</dcterms:modified>
  <cp:revision>499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