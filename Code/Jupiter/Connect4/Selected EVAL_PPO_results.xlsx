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Bases" sheetId="2" state="visible" r:id="rId4"/>
    <sheet name="Extended evals" sheetId="3" state="visible" r:id="rId5"/>
  </sheets>
  <definedNames>
    <definedName function="false" hidden="true" localSheetId="1" name="_xlnm._FilterDatabase" vbProcedure="false">Bases!$A$1:$Y$5</definedName>
    <definedName function="false" hidden="true" localSheetId="2" name="_xlnm._FilterDatabase" vbProcedure="false">'Extended evals'!$A$2:$W$7</definedName>
    <definedName function="false" hidden="true" localSheetId="0" name="_xlnm._FilterDatabase" vbProcedure="false">Main!$A$2:$Z$7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<sst xmlns="http://schemas.openxmlformats.org/spreadsheetml/2006/main" count="89" uniqueCount="42">
  <si>
    <t xml:space="preserve">max</t>
  </si>
  <si>
    <t xml:space="preserve">TRAINING_SESSION</t>
  </si>
  <si>
    <t xml:space="preserve">Trainings</t>
  </si>
  <si>
    <t xml:space="preserve">soup</t>
  </si>
  <si>
    <t xml:space="preserve">Random</t>
  </si>
  <si>
    <t xml:space="preserve">Leftmost</t>
  </si>
  <si>
    <t xml:space="preserve">Center</t>
  </si>
  <si>
    <t xml:space="preserve">LA-1</t>
  </si>
  <si>
    <t xml:space="preserve">LA-2</t>
  </si>
  <si>
    <t xml:space="preserve">LA-3</t>
  </si>
  <si>
    <t xml:space="preserve">LA-4</t>
  </si>
  <si>
    <t xml:space="preserve">LA-5</t>
  </si>
  <si>
    <t xml:space="preserve">LA-6</t>
  </si>
  <si>
    <t xml:space="preserve">LA-7</t>
  </si>
  <si>
    <t xml:space="preserve">LA-9</t>
  </si>
  <si>
    <t xml:space="preserve">LA-11</t>
  </si>
  <si>
    <t xml:space="preserve">LA-13</t>
  </si>
  <si>
    <t xml:space="preserve">GS</t>
  </si>
  <si>
    <t xml:space="preserve">GS-open</t>
  </si>
  <si>
    <t xml:space="preserve">ELO</t>
  </si>
  <si>
    <t xml:space="preserve">WOW</t>
  </si>
  <si>
    <t xml:space="preserve">GS_AVG</t>
  </si>
  <si>
    <t xml:space="preserve">MUL</t>
  </si>
  <si>
    <t xml:space="preserve">Kaggle</t>
  </si>
  <si>
    <t xml:space="preserve">MUL-GS</t>
  </si>
  <si>
    <t xml:space="preserve">R</t>
  </si>
  <si>
    <t xml:space="preserve">KaggleHyb</t>
  </si>
  <si>
    <t xml:space="preserve">PPO_1004</t>
  </si>
  <si>
    <t xml:space="preserve">PPO_2001</t>
  </si>
  <si>
    <t xml:space="preserve">PPO_2003</t>
  </si>
  <si>
    <t xml:space="preserve">PPO_2002</t>
  </si>
  <si>
    <t xml:space="preserve">PPO_2004</t>
  </si>
  <si>
    <t xml:space="preserve">BASE_10</t>
  </si>
  <si>
    <t xml:space="preserve">BASE_9</t>
  </si>
  <si>
    <t xml:space="preserve">BASE_11a</t>
  </si>
  <si>
    <t xml:space="preserve">BASE_8</t>
  </si>
  <si>
    <t xml:space="preserve">Tr</t>
  </si>
  <si>
    <t xml:space="preserve">LA-8</t>
  </si>
  <si>
    <t xml:space="preserve">LA-10</t>
  </si>
  <si>
    <t xml:space="preserve">LA-12</t>
  </si>
  <si>
    <t xml:space="preserve">LA-14</t>
  </si>
  <si>
    <t xml:space="preserve">LA-15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</si>
</sst>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"/>
    <numFmt numFmtId="167" formatCode="0.000"/>
    <numFmt numFmtId="168" formatCode="0.00"/>
  </numFmts>
  <fonts count="12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8"/>
      <color theme="1"/>
      <name val="Calibri"/>
      <family val="2"/>
      <charset val="238"/>
    </font>
    <font>
      <b val="true"/>
      <sz val="9"/>
      <color theme="1"/>
      <name val="Calibri"/>
      <family val="2"/>
      <charset val="238"/>
    </font>
    <font>
      <sz val="8"/>
      <color theme="1"/>
      <name val="Calibri"/>
      <family val="2"/>
      <charset val="238"/>
    </font>
    <font>
      <b val="true"/>
      <sz val="6"/>
      <color theme="1"/>
      <name val="Calibri"/>
      <family val="2"/>
      <charset val="238"/>
    </font>
    <font>
      <b val="true"/>
      <sz val="11"/>
      <color theme="1"/>
      <name val="Calibri"/>
      <family val="2"/>
      <charset val="238"/>
    </font>
    <font>
      <b val="true"/>
      <sz val="8"/>
      <color theme="1"/>
      <name val="Calibri"/>
      <family val="2"/>
      <charset val="1"/>
    </font>
    <font>
      <b val="true"/>
      <sz val="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729FCF"/>
        <bgColor rgb="FF969696"/>
      </patternFill>
    </fill>
    <fill>
      <patternFill patternType="solid">
        <fgColor rgb="FF81D41A"/>
        <bgColor rgb="FF5EB91E"/>
      </patternFill>
    </fill>
    <fill>
      <patternFill patternType="solid">
        <fgColor rgb="FF5EB91E"/>
        <bgColor rgb="FF81D41A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CB20C"/>
        <bgColor rgb="FF81D41A"/>
      </patternFill>
    </fill>
    <fill>
      <patternFill patternType="solid">
        <fgColor rgb="FFFFD7D7"/>
        <bgColor rgb="FFFFCCCC"/>
      </patternFill>
    </fill>
    <fill>
      <patternFill patternType="solid">
        <fgColor rgb="FFFFBF00"/>
        <bgColor rgb="FFACB20C"/>
      </patternFill>
    </fill>
    <fill>
      <patternFill patternType="solid">
        <fgColor rgb="FFFF8000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8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8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729FCF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B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5EB91E"/>
          <bgColor rgb="FF000000"/>
        </patternFill>
      </fill>
    </dxf>
    <dxf>
      <fill>
        <patternFill patternType="solid">
          <fgColor rgb="FF2A609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CB20C"/>
          <bgColor rgb="FF000000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  <alignment horizontal="general" vertical="bottom" textRotation="0" wrapText="false" indent="0" shrinkToFit="false"/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ACB20C"/>
      <rgbColor rgb="FF800080"/>
      <rgbColor rgb="FF008080"/>
      <rgbColor rgb="FFC0C0C0"/>
      <rgbColor rgb="FF808080"/>
      <rgbColor rgb="FF729FCF"/>
      <rgbColor rgb="FF993366"/>
      <rgbColor rgb="FFFFD7D7"/>
      <rgbColor rgb="FFDEE6E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1D41A"/>
      <rgbColor rgb="FFFFBF00"/>
      <rgbColor rgb="FFFF8000"/>
      <rgbColor rgb="FFFF6600"/>
      <rgbColor rgb="FF666699"/>
      <rgbColor rgb="FF969696"/>
      <rgbColor rgb="FF003366"/>
      <rgbColor rgb="FF5EB91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15" activeCellId="0" sqref="D15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5.18"/>
    <col collapsed="false" customWidth="true" hidden="false" outlineLevel="0" max="4" min="4" style="3" width="8.91"/>
    <col collapsed="false" customWidth="true" hidden="false" outlineLevel="0" max="5" min="5" style="3" width="10.57"/>
    <col collapsed="false" customWidth="true" hidden="false" outlineLevel="0" max="6" min="6" style="3" width="8.84"/>
    <col collapsed="false" customWidth="true" hidden="false" outlineLevel="0" max="7" min="7" style="3" width="7.82"/>
    <col collapsed="false" customWidth="true" hidden="false" outlineLevel="0" max="8" min="8" style="3" width="9.46"/>
    <col collapsed="false" customWidth="true" hidden="false" outlineLevel="0" max="9" min="9" style="3" width="8.19"/>
    <col collapsed="false" customWidth="true" hidden="false" outlineLevel="0" max="10" min="10" style="3" width="8.64"/>
    <col collapsed="false" customWidth="true" hidden="false" outlineLevel="0" max="11" min="11" style="3" width="7.73"/>
    <col collapsed="false" customWidth="true" hidden="false" outlineLevel="0" max="12" min="12" style="3" width="9.92"/>
    <col collapsed="false" customWidth="true" hidden="false" outlineLevel="0" max="13" min="13" style="3" width="9.46"/>
    <col collapsed="false" customWidth="true" hidden="false" outlineLevel="0" max="14" min="14" style="3" width="9.01"/>
    <col collapsed="false" customWidth="true" hidden="false" outlineLevel="0" max="15" min="15" style="3" width="9.64"/>
    <col collapsed="false" customWidth="true" hidden="false" outlineLevel="0" max="16" min="16" style="3" width="8.55"/>
    <col collapsed="false" customWidth="true" hidden="false" outlineLevel="0" max="17" min="17" style="4" width="10.83"/>
    <col collapsed="false" customWidth="false" hidden="false" outlineLevel="0" max="18" min="18" style="4" width="8.46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3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4" width="11.83"/>
    <col collapsed="false" customWidth="true" hidden="false" outlineLevel="0" max="26" min="26" style="6" width="11.83"/>
  </cols>
  <sheetData>
    <row r="1" s="12" customFormat="true" ht="15" hidden="false" customHeight="false" outlineLevel="0" collapsed="false">
      <c r="A1" s="7" t="s">
        <v>0</v>
      </c>
      <c r="B1" s="8"/>
      <c r="C1" s="8"/>
      <c r="D1" s="9" t="n">
        <f aca="false">MAX(D3:D40)</f>
        <v>1</v>
      </c>
      <c r="E1" s="9" t="n">
        <f aca="false">MAX(E3:E40)</f>
        <v>1</v>
      </c>
      <c r="F1" s="9" t="n">
        <f aca="false">MAX(F3:F40)</f>
        <v>1</v>
      </c>
      <c r="G1" s="9" t="n">
        <f aca="false">MAX(G3:G40)</f>
        <v>1</v>
      </c>
      <c r="H1" s="9" t="n">
        <f aca="false">MAX(H3:H40)</f>
        <v>1</v>
      </c>
      <c r="I1" s="9" t="n">
        <f aca="false">MAX(I3:I40)</f>
        <v>1</v>
      </c>
      <c r="J1" s="9" t="n">
        <f aca="false">MAX(J3:J40)</f>
        <v>1</v>
      </c>
      <c r="K1" s="9" t="n">
        <f aca="false">MAX(K3:K40)</f>
        <v>1</v>
      </c>
      <c r="L1" s="9" t="n">
        <f aca="false">MAX(L3:L40)</f>
        <v>1</v>
      </c>
      <c r="M1" s="9" t="n">
        <f aca="false">MAX(M3:M40)</f>
        <v>1</v>
      </c>
      <c r="N1" s="9" t="n">
        <f aca="false">MAX(N3:N40)</f>
        <v>1</v>
      </c>
      <c r="O1" s="9" t="n">
        <f aca="false">MAX(O3:O40)</f>
        <v>1</v>
      </c>
      <c r="P1" s="9" t="n">
        <f aca="false">MAX(P3:P40)</f>
        <v>1</v>
      </c>
      <c r="Q1" s="10" t="n">
        <f aca="false">MAX(Q3:Q40)</f>
        <v>1</v>
      </c>
      <c r="R1" s="10" t="n">
        <f aca="false">MAX(R3:R40)</f>
        <v>0.563</v>
      </c>
      <c r="S1" s="11" t="n">
        <f aca="false">MAX(S3:S40)</f>
        <v>1367.670305</v>
      </c>
      <c r="T1" s="11" t="n">
        <f aca="false">MAX(T3:T40)</f>
        <v>1367.670305</v>
      </c>
      <c r="U1" s="10" t="n">
        <f aca="false">MAX(U3:U40)</f>
        <v>0.781471739102527</v>
      </c>
      <c r="V1" s="11" t="n">
        <f aca="false">MAX(V3:V40)</f>
        <v>1000</v>
      </c>
      <c r="W1" s="11" t="n">
        <f aca="false">MAX(W3:W40)</f>
        <v>743</v>
      </c>
      <c r="X1" s="11" t="n">
        <f aca="false">MAX(X3:X40)</f>
        <v>562</v>
      </c>
      <c r="Y1" s="10" t="n">
        <f aca="false">MAX(Y3:Y40)</f>
        <v>0.56303182356928</v>
      </c>
      <c r="Z1" s="10" t="n">
        <f aca="false">MAX(Z3:Z40)</f>
        <v>0</v>
      </c>
    </row>
    <row r="2" customFormat="false" ht="15" hidden="false" customHeight="false" outlineLevel="0" collapsed="false">
      <c r="A2" s="13" t="s">
        <v>1</v>
      </c>
      <c r="B2" s="14" t="s">
        <v>2</v>
      </c>
      <c r="C2" s="14" t="s">
        <v>3</v>
      </c>
      <c r="D2" s="15" t="s">
        <v>4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9</v>
      </c>
      <c r="J2" s="15" t="s">
        <v>10</v>
      </c>
      <c r="K2" s="15" t="s">
        <v>11</v>
      </c>
      <c r="L2" s="15" t="s">
        <v>12</v>
      </c>
      <c r="M2" s="15" t="s">
        <v>13</v>
      </c>
      <c r="N2" s="15" t="s">
        <v>14</v>
      </c>
      <c r="O2" s="15" t="s">
        <v>15</v>
      </c>
      <c r="P2" s="15" t="s">
        <v>16</v>
      </c>
      <c r="Q2" s="16" t="s">
        <v>17</v>
      </c>
      <c r="R2" s="17" t="s">
        <v>18</v>
      </c>
      <c r="S2" s="18" t="s">
        <v>19</v>
      </c>
      <c r="T2" s="18" t="s">
        <v>20</v>
      </c>
      <c r="U2" s="19" t="s">
        <v>21</v>
      </c>
      <c r="V2" s="20" t="s">
        <v>22</v>
      </c>
      <c r="W2" s="21" t="s">
        <v>23</v>
      </c>
      <c r="X2" s="22" t="s">
        <v>24</v>
      </c>
      <c r="Y2" s="23" t="s">
        <v>25</v>
      </c>
      <c r="Z2" s="24" t="s">
        <v>26</v>
      </c>
    </row>
    <row r="3" customFormat="false" ht="15" hidden="false" customHeight="true" outlineLevel="0" collapsed="false">
      <c r="A3" s="25" t="s">
        <v>27</v>
      </c>
      <c r="B3" s="26" t="n">
        <v>1</v>
      </c>
      <c r="C3" s="1" t="n">
        <v>0</v>
      </c>
      <c r="D3" s="3" t="n">
        <v>1</v>
      </c>
      <c r="E3" s="3" t="n">
        <v>1</v>
      </c>
      <c r="F3" s="3" t="n">
        <v>1</v>
      </c>
      <c r="G3" s="3" t="n">
        <v>1</v>
      </c>
      <c r="H3" s="3" t="n">
        <v>1</v>
      </c>
      <c r="I3" s="3" t="n">
        <v>1</v>
      </c>
      <c r="J3" s="3" t="n">
        <v>1</v>
      </c>
      <c r="K3" s="3" t="n">
        <v>1</v>
      </c>
      <c r="L3" s="3" t="n">
        <v>1</v>
      </c>
      <c r="M3" s="3" t="n">
        <v>1</v>
      </c>
      <c r="N3" s="3" t="n">
        <v>1</v>
      </c>
      <c r="O3" s="3" t="n">
        <v>1</v>
      </c>
      <c r="P3" s="3" t="n">
        <v>1</v>
      </c>
      <c r="Q3" s="4" t="n">
        <v>1</v>
      </c>
      <c r="R3" s="4" t="n">
        <v>0.524</v>
      </c>
      <c r="S3" s="2" t="n">
        <v>1367.670305</v>
      </c>
      <c r="T3" s="2" t="n">
        <f aca="false">Q3*S3</f>
        <v>1367.670305</v>
      </c>
      <c r="U3" s="5" t="n">
        <f aca="false">AVERAGE(Q3, R3)</f>
        <v>0.762</v>
      </c>
      <c r="V3" s="3" t="n">
        <f aca="false">D3*E3*F3*G3*H3*I3*J3*K3*L3*M3*N3*O3*P3*1000</f>
        <v>1000</v>
      </c>
      <c r="W3" s="1" t="n">
        <v>731</v>
      </c>
      <c r="X3" s="3" t="n">
        <f aca="false">V3*Q3*R3</f>
        <v>524</v>
      </c>
      <c r="Y3" s="4" t="n">
        <f aca="false">R3/Q3</f>
        <v>0.524</v>
      </c>
    </row>
    <row r="4" customFormat="false" ht="15" hidden="false" customHeight="true" outlineLevel="0" collapsed="false">
      <c r="A4" s="27" t="s">
        <v>28</v>
      </c>
      <c r="B4" s="26" t="n">
        <v>1</v>
      </c>
      <c r="C4" s="1" t="n">
        <v>0</v>
      </c>
      <c r="D4" s="3" t="n">
        <v>1</v>
      </c>
      <c r="E4" s="3" t="n">
        <v>1</v>
      </c>
      <c r="F4" s="3" t="n">
        <v>1</v>
      </c>
      <c r="G4" s="3" t="n">
        <v>1</v>
      </c>
      <c r="H4" s="3" t="n">
        <v>1</v>
      </c>
      <c r="I4" s="3" t="n">
        <v>1</v>
      </c>
      <c r="J4" s="3" t="n">
        <v>1</v>
      </c>
      <c r="K4" s="3" t="n">
        <v>1</v>
      </c>
      <c r="L4" s="3" t="n">
        <v>1</v>
      </c>
      <c r="M4" s="3" t="n">
        <v>1</v>
      </c>
      <c r="N4" s="3" t="n">
        <v>1</v>
      </c>
      <c r="O4" s="3" t="n">
        <v>1</v>
      </c>
      <c r="P4" s="3" t="n">
        <v>1</v>
      </c>
      <c r="Q4" s="4" t="n">
        <v>1</v>
      </c>
      <c r="R4" s="4" t="n">
        <v>0.562</v>
      </c>
      <c r="S4" s="2" t="n">
        <v>1354.375858</v>
      </c>
      <c r="T4" s="2" t="n">
        <f aca="false">Q4*S4</f>
        <v>1354.375858</v>
      </c>
      <c r="U4" s="5" t="n">
        <f aca="false">AVERAGE(Q4, R4)</f>
        <v>0.781</v>
      </c>
      <c r="V4" s="3" t="n">
        <f aca="false">D4*E4*F4*G4*H4*I4*J4*K4*L4*M4*N4*O4*P4*1000</f>
        <v>1000</v>
      </c>
      <c r="X4" s="3" t="n">
        <f aca="false">V4*Q4*R4</f>
        <v>562</v>
      </c>
      <c r="Y4" s="4" t="n">
        <f aca="false">R4/Q4</f>
        <v>0.562</v>
      </c>
    </row>
    <row r="5" customFormat="false" ht="15" hidden="false" customHeight="true" outlineLevel="0" collapsed="false">
      <c r="A5" s="27" t="s">
        <v>29</v>
      </c>
      <c r="B5" s="26" t="n">
        <v>1</v>
      </c>
      <c r="C5" s="1" t="n">
        <v>0</v>
      </c>
      <c r="D5" s="3" t="n">
        <v>1</v>
      </c>
      <c r="E5" s="3" t="n">
        <v>1</v>
      </c>
      <c r="F5" s="3" t="n">
        <v>1</v>
      </c>
      <c r="G5" s="3" t="n">
        <v>1</v>
      </c>
      <c r="H5" s="3" t="n">
        <v>1</v>
      </c>
      <c r="I5" s="3" t="n">
        <v>1</v>
      </c>
      <c r="J5" s="3" t="n">
        <v>1</v>
      </c>
      <c r="K5" s="3" t="n">
        <v>1</v>
      </c>
      <c r="L5" s="3" t="n">
        <v>1</v>
      </c>
      <c r="M5" s="3" t="n">
        <v>1</v>
      </c>
      <c r="N5" s="3" t="n">
        <v>1</v>
      </c>
      <c r="O5" s="3" t="n">
        <v>1</v>
      </c>
      <c r="P5" s="3" t="n">
        <v>1</v>
      </c>
      <c r="Q5" s="4" t="n">
        <v>1</v>
      </c>
      <c r="R5" s="4" t="n">
        <v>0.509</v>
      </c>
      <c r="S5" s="2" t="n">
        <v>1337.197942</v>
      </c>
      <c r="T5" s="2" t="n">
        <f aca="false">Q5*S5</f>
        <v>1337.197942</v>
      </c>
      <c r="U5" s="5" t="n">
        <f aca="false">AVERAGE(Q5, R5)</f>
        <v>0.7545</v>
      </c>
      <c r="V5" s="3" t="n">
        <f aca="false">D5*E5*F5*G5*H5*I5*J5*K5*L5*M5*N5*O5*P5*1000</f>
        <v>1000</v>
      </c>
      <c r="X5" s="3" t="n">
        <f aca="false">V5*Q5*R5</f>
        <v>509</v>
      </c>
      <c r="Y5" s="4" t="n">
        <f aca="false">R5/Q5</f>
        <v>0.509</v>
      </c>
    </row>
    <row r="6" customFormat="false" ht="15" hidden="false" customHeight="true" outlineLevel="0" collapsed="false">
      <c r="A6" s="25" t="s">
        <v>30</v>
      </c>
      <c r="B6" s="26" t="n">
        <v>1</v>
      </c>
      <c r="C6" s="1" t="n">
        <v>0</v>
      </c>
      <c r="D6" s="3" t="n">
        <v>0.99</v>
      </c>
      <c r="E6" s="3" t="n">
        <v>1</v>
      </c>
      <c r="F6" s="3" t="n">
        <v>1</v>
      </c>
      <c r="G6" s="3" t="n">
        <v>1</v>
      </c>
      <c r="H6" s="3" t="n">
        <v>1</v>
      </c>
      <c r="I6" s="3" t="n">
        <v>1</v>
      </c>
      <c r="J6" s="3" t="n">
        <v>1</v>
      </c>
      <c r="K6" s="3" t="n">
        <v>1</v>
      </c>
      <c r="L6" s="3" t="n">
        <v>1</v>
      </c>
      <c r="M6" s="3" t="n">
        <v>1</v>
      </c>
      <c r="N6" s="3" t="n">
        <v>1</v>
      </c>
      <c r="O6" s="3" t="n">
        <v>1</v>
      </c>
      <c r="P6" s="3" t="n">
        <v>1</v>
      </c>
      <c r="Q6" s="4" t="n">
        <v>0.999943478205053</v>
      </c>
      <c r="R6" s="4" t="n">
        <v>0.563</v>
      </c>
      <c r="S6" s="2" t="n">
        <v>1329.146493</v>
      </c>
      <c r="T6" s="2" t="n">
        <f aca="false">Q6*S6</f>
        <v>1329.07136725447</v>
      </c>
      <c r="U6" s="5" t="n">
        <f aca="false">AVERAGE(Q6, R6)</f>
        <v>0.781471739102527</v>
      </c>
      <c r="V6" s="3" t="n">
        <f aca="false">D6*E6*F6*G6*H6*I6*J6*K6*L6*M6*N6*O6*P6*1000</f>
        <v>990</v>
      </c>
      <c r="W6" s="2" t="n">
        <v>734</v>
      </c>
      <c r="X6" s="3" t="n">
        <f aca="false">V6*Q6*R6</f>
        <v>557.33849644715</v>
      </c>
      <c r="Y6" s="4" t="n">
        <f aca="false">R6/Q6</f>
        <v>0.56303182356928</v>
      </c>
    </row>
    <row r="7" customFormat="false" ht="15" hidden="false" customHeight="true" outlineLevel="0" collapsed="false">
      <c r="A7" s="27" t="s">
        <v>31</v>
      </c>
      <c r="B7" s="26" t="n">
        <v>2</v>
      </c>
      <c r="C7" s="1" t="n">
        <v>0</v>
      </c>
      <c r="D7" s="3" t="n">
        <v>1</v>
      </c>
      <c r="E7" s="3" t="n">
        <v>1</v>
      </c>
      <c r="F7" s="3" t="n">
        <v>1</v>
      </c>
      <c r="G7" s="3" t="n">
        <v>1</v>
      </c>
      <c r="H7" s="3" t="n">
        <v>1</v>
      </c>
      <c r="I7" s="3" t="n">
        <v>1</v>
      </c>
      <c r="J7" s="3" t="n">
        <v>1</v>
      </c>
      <c r="K7" s="3" t="n">
        <v>1</v>
      </c>
      <c r="L7" s="3" t="n">
        <v>1</v>
      </c>
      <c r="M7" s="3" t="n">
        <v>1</v>
      </c>
      <c r="N7" s="3" t="n">
        <v>1</v>
      </c>
      <c r="O7" s="3" t="n">
        <v>1</v>
      </c>
      <c r="P7" s="3" t="n">
        <v>1</v>
      </c>
      <c r="Q7" s="4" t="n">
        <v>1</v>
      </c>
      <c r="R7" s="4" t="n">
        <v>0.496</v>
      </c>
      <c r="S7" s="2" t="n">
        <v>1316.05153</v>
      </c>
      <c r="T7" s="2" t="n">
        <f aca="false">Q7*S7</f>
        <v>1316.05153</v>
      </c>
      <c r="U7" s="5" t="n">
        <f aca="false">AVERAGE(Q7, R7)</f>
        <v>0.748</v>
      </c>
      <c r="V7" s="3" t="n">
        <f aca="false">D7*E7*F7*G7*H7*I7*J7*K7*L7*M7*N7*O7*P7*1000</f>
        <v>1000</v>
      </c>
      <c r="W7" s="2" t="n">
        <v>743</v>
      </c>
      <c r="X7" s="3" t="n">
        <f aca="false">V7*Q7*R7</f>
        <v>496</v>
      </c>
      <c r="Y7" s="4" t="n">
        <f aca="false">R7/Q7</f>
        <v>0.496</v>
      </c>
    </row>
    <row r="1048576" customFormat="false" ht="15" hidden="false" customHeight="false" outlineLevel="0" collapsed="false"/>
  </sheetData>
  <autoFilter ref="A2:Z7"/>
  <conditionalFormatting sqref="E3:P4">
    <cfRule type="cellIs" priority="2" operator="equal" aboveAverage="0" equalAverage="0" bottom="0" percent="0" rank="0" text="" dxfId="12">
      <formula>1</formula>
    </cfRule>
  </conditionalFormatting>
  <conditionalFormatting sqref="S5:S1048576 S2:S3">
    <cfRule type="cellIs" priority="3" operator="greaterThan" aboveAverage="0" equalAverage="0" bottom="0" percent="0" rank="0" text="" dxfId="12">
      <formula>1100</formula>
    </cfRule>
  </conditionalFormatting>
  <conditionalFormatting sqref="E2:P1048576">
    <cfRule type="cellIs" priority="4" operator="lessThan" aboveAverage="0" equalAverage="0" bottom="0" percent="0" rank="0" text="" dxfId="13">
      <formula>0.5</formula>
    </cfRule>
    <cfRule type="cellIs" priority="5" operator="greaterThan" aboveAverage="0" equalAverage="0" bottom="0" percent="0" rank="0" text="" dxfId="14">
      <formula>0.5</formula>
    </cfRule>
  </conditionalFormatting>
  <conditionalFormatting sqref="T8:T1048576 T2:T4">
    <cfRule type="cellIs" priority="6" operator="greaterThan" aboveAverage="0" equalAverage="0" bottom="0" percent="0" rank="0" text="" dxfId="15">
      <formula>800</formula>
    </cfRule>
  </conditionalFormatting>
  <conditionalFormatting sqref="Q2:Q1048576">
    <cfRule type="cellIs" priority="7" operator="greaterThan" aboveAverage="0" equalAverage="0" bottom="0" percent="0" rank="0" text="" dxfId="15">
      <formula>0.75</formula>
    </cfRule>
    <cfRule type="cellIs" priority="8" operator="lessThan" aboveAverage="0" equalAverage="0" bottom="0" percent="0" rank="0" text="" dxfId="16">
      <formula>0.6</formula>
    </cfRule>
  </conditionalFormatting>
  <conditionalFormatting sqref="W2:W1048576">
    <cfRule type="cellIs" priority="9" operator="greaterThan" aboveAverage="0" equalAverage="0" bottom="0" percent="0" rank="0" text="" dxfId="15">
      <formula>600</formula>
    </cfRule>
  </conditionalFormatting>
  <conditionalFormatting sqref="U2:U1048576">
    <cfRule type="cellIs" priority="10" operator="greaterThanOrEqual" aboveAverage="0" equalAverage="0" bottom="0" percent="0" rank="0" text="" dxfId="15">
      <formula>0.55</formula>
    </cfRule>
  </conditionalFormatting>
  <conditionalFormatting sqref="V2:V1048576">
    <cfRule type="cellIs" priority="11" operator="greaterThan" aboveAverage="0" equalAverage="0" bottom="0" percent="0" rank="0" text="" dxfId="15">
      <formula>0</formula>
    </cfRule>
  </conditionalFormatting>
  <conditionalFormatting sqref="X2:X1048576">
    <cfRule type="cellIs" priority="12" operator="greaterThan" aboveAverage="0" equalAverage="0" bottom="0" percent="0" rank="0" text="" dxfId="17">
      <formula>100</formula>
    </cfRule>
  </conditionalFormatting>
  <conditionalFormatting sqref="Y2:Y1048576">
    <cfRule type="cellIs" priority="13" operator="greaterThan" aboveAverage="0" equalAverage="0" bottom="0" percent="0" rank="0" text="" dxfId="17">
      <formula>0.5</formula>
    </cfRule>
  </conditionalFormatting>
  <conditionalFormatting sqref="T5:T7">
    <cfRule type="cellIs" priority="14" operator="greaterThan" aboveAverage="0" equalAverage="0" bottom="0" percent="0" rank="0" text="" dxfId="15">
      <formula>800</formula>
    </cfRule>
  </conditionalFormatting>
  <conditionalFormatting sqref="R2:R1048576">
    <cfRule type="cellIs" priority="15" operator="greaterThan" aboveAverage="0" equalAverage="0" bottom="0" percent="0" rank="0" text="" dxfId="18">
      <formula>0.45</formula>
    </cfRule>
  </conditionalFormatting>
  <conditionalFormatting sqref="S4">
    <cfRule type="cellIs" priority="16" operator="greaterThan" aboveAverage="0" equalAverage="0" bottom="0" percent="0" rank="0" text="" dxfId="12">
      <formula>1100</formula>
    </cfRule>
  </conditionalFormatting>
  <conditionalFormatting sqref="Z2:Z1048576">
    <cfRule type="cellIs" priority="17" operator="greaterThan" aboveAverage="0" equalAverage="0" bottom="0" percent="0" rank="0" text="" dxfId="19">
      <formula>800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S8" activeCellId="0" sqref="S8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4" width="10.83"/>
    <col collapsed="false" customWidth="true" hidden="false" outlineLevel="0" max="5" min="5" style="3" width="10.57"/>
    <col collapsed="false" customWidth="true" hidden="false" outlineLevel="0" max="6" min="6" style="3" width="8.84"/>
    <col collapsed="false" customWidth="true" hidden="false" outlineLevel="0" max="7" min="7" style="3" width="7.82"/>
    <col collapsed="false" customWidth="true" hidden="false" outlineLevel="0" max="8" min="8" style="3" width="9.46"/>
    <col collapsed="false" customWidth="true" hidden="false" outlineLevel="0" max="9" min="9" style="3" width="8.19"/>
    <col collapsed="false" customWidth="true" hidden="false" outlineLevel="0" max="10" min="10" style="3" width="8.64"/>
    <col collapsed="false" customWidth="true" hidden="false" outlineLevel="0" max="11" min="11" style="3" width="7.73"/>
    <col collapsed="false" customWidth="true" hidden="false" outlineLevel="0" max="12" min="12" style="3" width="9.92"/>
    <col collapsed="false" customWidth="true" hidden="false" outlineLevel="0" max="13" min="13" style="3" width="9.46"/>
    <col collapsed="false" customWidth="true" hidden="false" outlineLevel="0" max="14" min="14" style="3" width="9.01"/>
    <col collapsed="false" customWidth="true" hidden="false" outlineLevel="0" max="15" min="15" style="3" width="9.64"/>
    <col collapsed="false" customWidth="true" hidden="false" outlineLevel="0" max="16" min="16" style="3" width="8.55"/>
    <col collapsed="false" customWidth="true" hidden="false" outlineLevel="0" max="17" min="17" style="4" width="10.83"/>
    <col collapsed="false" customWidth="true" hidden="false" outlineLevel="0" max="18" min="18" style="4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3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4" width="11.83"/>
  </cols>
  <sheetData>
    <row r="1" customFormat="false" ht="15" hidden="false" customHeight="false" outlineLevel="0" collapsed="false">
      <c r="A1" s="13" t="s">
        <v>1</v>
      </c>
      <c r="B1" s="14" t="s">
        <v>2</v>
      </c>
      <c r="C1" s="14" t="s">
        <v>3</v>
      </c>
      <c r="D1" s="16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6" t="s">
        <v>17</v>
      </c>
      <c r="R1" s="17" t="s">
        <v>18</v>
      </c>
      <c r="S1" s="18" t="s">
        <v>19</v>
      </c>
      <c r="T1" s="18" t="s">
        <v>20</v>
      </c>
      <c r="U1" s="19" t="s">
        <v>21</v>
      </c>
      <c r="V1" s="20" t="s">
        <v>22</v>
      </c>
      <c r="W1" s="21" t="s">
        <v>23</v>
      </c>
      <c r="X1" s="22" t="s">
        <v>24</v>
      </c>
      <c r="Y1" s="23" t="s">
        <v>25</v>
      </c>
    </row>
    <row r="2" customFormat="false" ht="15" hidden="false" customHeight="true" outlineLevel="0" collapsed="false">
      <c r="A2" s="28" t="s">
        <v>32</v>
      </c>
      <c r="B2" s="29" t="n">
        <v>99</v>
      </c>
      <c r="C2" s="1" t="n">
        <v>0</v>
      </c>
      <c r="D2" s="4" t="n">
        <v>1</v>
      </c>
      <c r="E2" s="3" t="n">
        <v>1</v>
      </c>
      <c r="F2" s="3" t="n">
        <v>1</v>
      </c>
      <c r="G2" s="3" t="n">
        <v>1</v>
      </c>
      <c r="H2" s="3" t="n">
        <v>0.5</v>
      </c>
      <c r="I2" s="3" t="n">
        <v>1</v>
      </c>
      <c r="J2" s="3" t="n">
        <v>1</v>
      </c>
      <c r="K2" s="3" t="n">
        <v>0.5</v>
      </c>
      <c r="L2" s="3" t="n">
        <v>1</v>
      </c>
      <c r="M2" s="3" t="n">
        <v>0.5</v>
      </c>
      <c r="N2" s="3" t="n">
        <v>0.5</v>
      </c>
      <c r="O2" s="3" t="n">
        <v>0</v>
      </c>
      <c r="P2" s="3" t="n">
        <v>0</v>
      </c>
      <c r="Q2" s="4" t="n">
        <v>0.213570171644556</v>
      </c>
      <c r="R2" s="4" t="n">
        <v>0.212</v>
      </c>
      <c r="S2" s="2" t="n">
        <v>1215.754174</v>
      </c>
      <c r="T2" s="2" t="n">
        <f aca="false">Q2*S2</f>
        <v>259.648827618765</v>
      </c>
      <c r="U2" s="5" t="n">
        <f aca="false">AVERAGE(Q2, R2)</f>
        <v>0.212785085822278</v>
      </c>
      <c r="V2" s="3" t="n">
        <f aca="false">D2*E2*F2*G2*H2*I2*J2*K2*L2*M2*N2*O2*P2*1000</f>
        <v>0</v>
      </c>
      <c r="X2" s="3" t="n">
        <f aca="false">V2*Q2*R2</f>
        <v>0</v>
      </c>
      <c r="Y2" s="4" t="n">
        <f aca="false">R2/Q2</f>
        <v>0.992647982475899</v>
      </c>
    </row>
    <row r="3" customFormat="false" ht="15" hidden="false" customHeight="true" outlineLevel="0" collapsed="false">
      <c r="A3" s="28" t="s">
        <v>33</v>
      </c>
      <c r="B3" s="29" t="n">
        <v>99</v>
      </c>
      <c r="C3" s="1" t="n">
        <v>0</v>
      </c>
      <c r="D3" s="4" t="n">
        <v>1</v>
      </c>
      <c r="E3" s="3" t="n">
        <v>1</v>
      </c>
      <c r="F3" s="3" t="n">
        <v>1</v>
      </c>
      <c r="G3" s="3" t="n">
        <v>1</v>
      </c>
      <c r="H3" s="3" t="n">
        <v>1</v>
      </c>
      <c r="I3" s="3" t="n">
        <v>0.5</v>
      </c>
      <c r="J3" s="3" t="n">
        <v>1</v>
      </c>
      <c r="K3" s="3" t="n">
        <v>0.5</v>
      </c>
      <c r="L3" s="3" t="n">
        <v>1</v>
      </c>
      <c r="M3" s="3" t="n">
        <v>0.5</v>
      </c>
      <c r="N3" s="3" t="n">
        <v>0.5</v>
      </c>
      <c r="O3" s="3" t="n">
        <v>0</v>
      </c>
      <c r="P3" s="3" t="n">
        <v>0</v>
      </c>
      <c r="Q3" s="4" t="n">
        <v>0.211354517282616</v>
      </c>
      <c r="R3" s="4" t="n">
        <v>0.15</v>
      </c>
      <c r="S3" s="2" t="n">
        <v>998.411</v>
      </c>
      <c r="T3" s="2" t="n">
        <f aca="false">Q3*S3</f>
        <v>211.018674954654</v>
      </c>
      <c r="U3" s="5" t="n">
        <f aca="false">AVERAGE(Q3, R3)</f>
        <v>0.180677258641308</v>
      </c>
      <c r="V3" s="3" t="n">
        <f aca="false">D3*E3*F3*G3*H3*I3*J3*K3*L3*M3*N3*O3*P3*1000</f>
        <v>0</v>
      </c>
      <c r="X3" s="3" t="n">
        <f aca="false">V3*Q3*R3</f>
        <v>0</v>
      </c>
      <c r="Y3" s="4" t="n">
        <f aca="false">R3/Q3</f>
        <v>0.709708039026321</v>
      </c>
    </row>
    <row r="4" customFormat="false" ht="15" hidden="false" customHeight="true" outlineLevel="0" collapsed="false">
      <c r="A4" s="1" t="s">
        <v>34</v>
      </c>
      <c r="B4" s="2" t="n">
        <v>0.018735</v>
      </c>
      <c r="C4" s="1" t="n">
        <v>0</v>
      </c>
      <c r="D4" s="4" t="n">
        <v>0.99</v>
      </c>
      <c r="E4" s="3" t="n">
        <v>1</v>
      </c>
      <c r="F4" s="3" t="n">
        <v>1</v>
      </c>
      <c r="G4" s="3" t="n">
        <v>0.5</v>
      </c>
      <c r="H4" s="3" t="n">
        <v>0.5</v>
      </c>
      <c r="I4" s="3" t="n">
        <v>0.5</v>
      </c>
      <c r="J4" s="3" t="n">
        <v>1</v>
      </c>
      <c r="K4" s="3" t="n">
        <v>0.5</v>
      </c>
      <c r="L4" s="3" t="n">
        <v>1</v>
      </c>
      <c r="M4" s="3" t="n">
        <v>0.5</v>
      </c>
      <c r="N4" s="3" t="n">
        <v>0.5</v>
      </c>
      <c r="O4" s="3" t="n">
        <v>0</v>
      </c>
      <c r="P4" s="3" t="n">
        <v>0</v>
      </c>
      <c r="Q4" s="4" t="n">
        <v>0.201802333936495</v>
      </c>
      <c r="R4" s="4" t="n">
        <v>0.187</v>
      </c>
      <c r="S4" s="2" t="n">
        <v>1227.076712</v>
      </c>
      <c r="T4" s="2" t="n">
        <f aca="false">Q4*S4</f>
        <v>247.62694440072</v>
      </c>
      <c r="U4" s="5" t="n">
        <f aca="false">AVERAGE(Q4, R4)</f>
        <v>0.194401166968248</v>
      </c>
      <c r="V4" s="3" t="n">
        <f aca="false">D4*E4*F4*G4*H4*I4*J4*K4*L4*M4*N4*O4*P4*1000</f>
        <v>0</v>
      </c>
      <c r="X4" s="3" t="n">
        <f aca="false">V4*Q4*R4</f>
        <v>0</v>
      </c>
      <c r="Y4" s="4" t="n">
        <f aca="false">R4/Q4</f>
        <v>0.926649342216463</v>
      </c>
    </row>
    <row r="5" customFormat="false" ht="15" hidden="false" customHeight="true" outlineLevel="0" collapsed="false">
      <c r="A5" s="28" t="s">
        <v>35</v>
      </c>
      <c r="B5" s="29" t="n">
        <v>99</v>
      </c>
      <c r="C5" s="1" t="n">
        <v>0</v>
      </c>
      <c r="D5" s="4" t="n">
        <v>0.995</v>
      </c>
      <c r="E5" s="3" t="n">
        <v>1</v>
      </c>
      <c r="F5" s="3" t="n">
        <v>1</v>
      </c>
      <c r="G5" s="3" t="n">
        <v>1</v>
      </c>
      <c r="H5" s="3" t="n">
        <v>1</v>
      </c>
      <c r="I5" s="3" t="n">
        <v>0.5</v>
      </c>
      <c r="J5" s="3" t="n">
        <v>1</v>
      </c>
      <c r="K5" s="3" t="n">
        <v>0</v>
      </c>
      <c r="L5" s="3" t="n">
        <v>0.5</v>
      </c>
      <c r="M5" s="3" t="n">
        <v>0</v>
      </c>
      <c r="N5" s="3" t="n">
        <v>0</v>
      </c>
      <c r="O5" s="3" t="n">
        <v>0</v>
      </c>
      <c r="P5" s="3" t="n">
        <v>0</v>
      </c>
      <c r="Q5" s="4" t="n">
        <v>0.0866669481949934</v>
      </c>
      <c r="R5" s="4" t="n">
        <v>0.179</v>
      </c>
      <c r="S5" s="2" t="n">
        <v>983.426</v>
      </c>
      <c r="T5" s="2" t="n">
        <f aca="false">Q5*S5</f>
        <v>85.2305301956096</v>
      </c>
      <c r="U5" s="5" t="n">
        <f aca="false">AVERAGE(Q5, R5)</f>
        <v>0.132833474097497</v>
      </c>
      <c r="V5" s="3" t="n">
        <f aca="false">D5*E5*F5*G5*H5*I5*J5*K5*L5*M5*N5*O5*P5*1000</f>
        <v>0</v>
      </c>
      <c r="X5" s="3" t="n">
        <f aca="false">V5*Q5*R5</f>
        <v>0</v>
      </c>
      <c r="Y5" s="4" t="n">
        <f aca="false">R5/Q5</f>
        <v>2.06537790620324</v>
      </c>
    </row>
    <row r="1048491" customFormat="false" ht="13.8" hidden="false" customHeight="false" outlineLevel="0" collapsed="false"/>
    <row r="1048492" customFormat="false" ht="13.8" hidden="false" customHeight="false" outlineLevel="0" collapsed="false"/>
    <row r="1048493" customFormat="false" ht="13.8" hidden="false" customHeight="false" outlineLevel="0" collapsed="false"/>
    <row r="1048494" customFormat="false" ht="13.8" hidden="false" customHeight="false" outlineLevel="0" collapsed="false"/>
    <row r="1048495" customFormat="false" ht="13.8" hidden="false" customHeight="false" outlineLevel="0" collapsed="false"/>
    <row r="1048496" customFormat="false" ht="13.8" hidden="false" customHeight="false" outlineLevel="0" collapsed="false"/>
    <row r="1048497" customFormat="false" ht="13.8" hidden="false" customHeight="false" outlineLevel="0" collapsed="false"/>
    <row r="1048498" customFormat="false" ht="13.8" hidden="false" customHeight="false" outlineLevel="0" collapsed="false"/>
    <row r="1048499" customFormat="false" ht="13.8" hidden="false" customHeight="false" outlineLevel="0" collapsed="false"/>
    <row r="1048500" customFormat="false" ht="13.8" hidden="false" customHeight="false" outlineLevel="0" collapsed="false"/>
    <row r="1048501" customFormat="false" ht="13.8" hidden="false" customHeight="false" outlineLevel="0" collapsed="false"/>
    <row r="1048502" customFormat="false" ht="13.8" hidden="false" customHeight="false" outlineLevel="0" collapsed="false"/>
    <row r="1048503" customFormat="false" ht="13.8" hidden="false" customHeight="false" outlineLevel="0" collapsed="false"/>
    <row r="1048504" customFormat="false" ht="13.8" hidden="false" customHeight="false" outlineLevel="0" collapsed="false"/>
    <row r="1048505" customFormat="false" ht="13.8" hidden="false" customHeight="false" outlineLevel="0" collapsed="false"/>
    <row r="1048506" customFormat="false" ht="13.8" hidden="false" customHeight="false" outlineLevel="0" collapsed="false"/>
    <row r="1048507" customFormat="false" ht="13.8" hidden="false" customHeight="false" outlineLevel="0" collapsed="false"/>
    <row r="1048508" customFormat="false" ht="13.8" hidden="false" customHeight="false" outlineLevel="0" collapsed="false"/>
    <row r="1048509" customFormat="false" ht="13.8" hidden="false" customHeight="false" outlineLevel="0" collapsed="false"/>
    <row r="1048510" customFormat="false" ht="13.8" hidden="false" customHeight="false" outlineLevel="0" collapsed="false"/>
    <row r="1048511" customFormat="false" ht="13.8" hidden="false" customHeight="false" outlineLevel="0" collapsed="false"/>
    <row r="1048512" customFormat="false" ht="13.8" hidden="false" customHeight="false" outlineLevel="0" collapsed="false"/>
    <row r="1048513" customFormat="false" ht="13.8" hidden="false" customHeight="false" outlineLevel="0" collapsed="false"/>
    <row r="1048514" customFormat="false" ht="13.8" hidden="false" customHeight="false" outlineLevel="0" collapsed="false"/>
    <row r="1048515" customFormat="false" ht="13.8" hidden="false" customHeight="false" outlineLevel="0" collapsed="false"/>
    <row r="1048516" customFormat="false" ht="13.8" hidden="false" customHeight="false" outlineLevel="0" collapsed="false"/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Y5"/>
  <conditionalFormatting sqref="S1:S1048576">
    <cfRule type="cellIs" priority="2" operator="greaterThan" aboveAverage="0" equalAverage="0" bottom="0" percent="0" rank="0" text="" dxfId="12">
      <formula>1100</formula>
    </cfRule>
  </conditionalFormatting>
  <conditionalFormatting sqref="E1:P1048576">
    <cfRule type="cellIs" priority="3" operator="lessThan" aboveAverage="0" equalAverage="0" bottom="0" percent="0" rank="0" text="" dxfId="13">
      <formula>0.5</formula>
    </cfRule>
    <cfRule type="cellIs" priority="4" operator="greaterThan" aboveAverage="0" equalAverage="0" bottom="0" percent="0" rank="0" text="" dxfId="14">
      <formula>0.5</formula>
    </cfRule>
  </conditionalFormatting>
  <conditionalFormatting sqref="T1:T1048576">
    <cfRule type="cellIs" priority="5" operator="greaterThan" aboveAverage="0" equalAverage="0" bottom="0" percent="0" rank="0" text="" dxfId="15">
      <formula>800</formula>
    </cfRule>
  </conditionalFormatting>
  <conditionalFormatting sqref="Q1:Q1048576">
    <cfRule type="cellIs" priority="6" operator="greaterThan" aboveAverage="0" equalAverage="0" bottom="0" percent="0" rank="0" text="" dxfId="15">
      <formula>0.75</formula>
    </cfRule>
    <cfRule type="cellIs" priority="7" operator="lessThan" aboveAverage="0" equalAverage="0" bottom="0" percent="0" rank="0" text="" dxfId="16">
      <formula>0.6</formula>
    </cfRule>
  </conditionalFormatting>
  <conditionalFormatting sqref="W1:W1048576">
    <cfRule type="cellIs" priority="8" operator="greaterThan" aboveAverage="0" equalAverage="0" bottom="0" percent="0" rank="0" text="" dxfId="15">
      <formula>600</formula>
    </cfRule>
  </conditionalFormatting>
  <conditionalFormatting sqref="U1:U1048576">
    <cfRule type="cellIs" priority="9" operator="greaterThan" aboveAverage="0" equalAverage="0" bottom="0" percent="0" rank="0" text="" dxfId="15">
      <formula>0.55</formula>
    </cfRule>
  </conditionalFormatting>
  <conditionalFormatting sqref="V1:V1048576">
    <cfRule type="cellIs" priority="10" operator="greaterThan" aboveAverage="0" equalAverage="0" bottom="0" percent="0" rank="0" text="" dxfId="15">
      <formula>0</formula>
    </cfRule>
  </conditionalFormatting>
  <conditionalFormatting sqref="R1:R1048576">
    <cfRule type="cellIs" priority="11" operator="greaterThan" aboveAverage="0" equalAverage="0" bottom="0" percent="0" rank="0" text="" dxfId="17">
      <formula>0.45</formula>
    </cfRule>
  </conditionalFormatting>
  <conditionalFormatting sqref="X1:X1048576">
    <cfRule type="cellIs" priority="12" operator="greaterThan" aboveAverage="0" equalAverage="0" bottom="0" percent="0" rank="0" text="" dxfId="17">
      <formula>100</formula>
    </cfRule>
  </conditionalFormatting>
  <conditionalFormatting sqref="Y1:Y1048576">
    <cfRule type="cellIs" priority="13" operator="greaterThan" aboveAverage="0" equalAverage="0" bottom="0" percent="0" rank="0" text="" dxfId="17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2" min="2" style="30" width="6.82"/>
    <col collapsed="false" customWidth="true" hidden="false" outlineLevel="0" max="3" min="3" style="12" width="5.73"/>
    <col collapsed="false" customWidth="false" hidden="false" outlineLevel="0" max="22" min="22" style="31" width="11.53"/>
  </cols>
  <sheetData>
    <row r="1" s="12" customFormat="true" ht="13.5" hidden="false" customHeight="false" outlineLevel="0" collapsed="false">
      <c r="A1" s="32"/>
      <c r="B1" s="33"/>
      <c r="C1" s="32"/>
      <c r="D1" s="32" t="n">
        <f aca="false">MAX(D3:D40)</f>
        <v>1</v>
      </c>
      <c r="E1" s="32" t="n">
        <f aca="false">MAX(E3:E40)</f>
        <v>1</v>
      </c>
      <c r="F1" s="32" t="n">
        <f aca="false">MAX(F3:F40)</f>
        <v>1</v>
      </c>
      <c r="G1" s="32" t="n">
        <f aca="false">MAX(G3:G40)</f>
        <v>1</v>
      </c>
      <c r="H1" s="32" t="n">
        <f aca="false">MAX(H3:H40)</f>
        <v>1</v>
      </c>
      <c r="I1" s="32" t="n">
        <f aca="false">MAX(I3:I40)</f>
        <v>1</v>
      </c>
      <c r="J1" s="32" t="n">
        <f aca="false">MAX(J3:J40)</f>
        <v>1</v>
      </c>
      <c r="K1" s="32" t="n">
        <f aca="false">MAX(K3:K40)</f>
        <v>1</v>
      </c>
      <c r="L1" s="32" t="n">
        <f aca="false">MAX(L3:L40)</f>
        <v>1</v>
      </c>
      <c r="M1" s="32" t="n">
        <f aca="false">MAX(M3:M40)</f>
        <v>1</v>
      </c>
      <c r="N1" s="32" t="n">
        <f aca="false">MAX(N3:N40)</f>
        <v>1</v>
      </c>
      <c r="O1" s="32" t="n">
        <f aca="false">MAX(O3:O40)</f>
        <v>1</v>
      </c>
      <c r="P1" s="32" t="n">
        <f aca="false">MAX(P3:P40)</f>
        <v>1</v>
      </c>
      <c r="Q1" s="32" t="n">
        <f aca="false">MAX(Q3:Q40)</f>
        <v>1</v>
      </c>
      <c r="R1" s="32" t="n">
        <f aca="false">MAX(R3:R40)</f>
        <v>0</v>
      </c>
      <c r="S1" s="32" t="n">
        <f aca="false">MAX(S3:S40)</f>
        <v>1</v>
      </c>
      <c r="T1" s="32" t="n">
        <f aca="false">MAX(T3:T40)</f>
        <v>0</v>
      </c>
      <c r="U1" s="32" t="n">
        <f aca="false">MAX(U3:U40)</f>
        <v>0.5</v>
      </c>
      <c r="V1" s="33" t="n">
        <f aca="false">MAX(V3:V40)</f>
        <v>0.54852335453657</v>
      </c>
    </row>
    <row r="2" customFormat="false" ht="13.8" hidden="false" customHeight="false" outlineLevel="0" collapsed="false">
      <c r="A2" s="34" t="s">
        <v>1</v>
      </c>
      <c r="B2" s="35" t="s">
        <v>36</v>
      </c>
      <c r="C2" s="36" t="s">
        <v>3</v>
      </c>
      <c r="D2" s="37" t="s">
        <v>4</v>
      </c>
      <c r="E2" s="37" t="s">
        <v>5</v>
      </c>
      <c r="F2" s="37" t="s">
        <v>6</v>
      </c>
      <c r="G2" s="37" t="s">
        <v>7</v>
      </c>
      <c r="H2" s="37" t="s">
        <v>8</v>
      </c>
      <c r="I2" s="37" t="s">
        <v>9</v>
      </c>
      <c r="J2" s="37" t="s">
        <v>10</v>
      </c>
      <c r="K2" s="37" t="s">
        <v>11</v>
      </c>
      <c r="L2" s="37" t="s">
        <v>12</v>
      </c>
      <c r="M2" s="37" t="s">
        <v>13</v>
      </c>
      <c r="N2" s="37" t="s">
        <v>37</v>
      </c>
      <c r="O2" s="37" t="s">
        <v>14</v>
      </c>
      <c r="P2" s="37" t="s">
        <v>38</v>
      </c>
      <c r="Q2" s="37" t="s">
        <v>15</v>
      </c>
      <c r="R2" s="37" t="s">
        <v>39</v>
      </c>
      <c r="S2" s="37" t="s">
        <v>16</v>
      </c>
      <c r="T2" s="37" t="s">
        <v>40</v>
      </c>
      <c r="U2" s="37" t="s">
        <v>41</v>
      </c>
      <c r="V2" s="38" t="s">
        <v>17</v>
      </c>
      <c r="W2" s="21" t="s">
        <v>23</v>
      </c>
    </row>
    <row r="3" customFormat="false" ht="13.8" hidden="false" customHeight="false" outlineLevel="0" collapsed="false">
      <c r="A3" s="39" t="s">
        <v>29</v>
      </c>
      <c r="B3" s="30" t="n">
        <v>0.132811</v>
      </c>
      <c r="C3" s="12" t="n">
        <v>0</v>
      </c>
      <c r="D3" s="0" t="n">
        <v>1</v>
      </c>
      <c r="E3" s="0" t="n">
        <v>1</v>
      </c>
      <c r="F3" s="0" t="n">
        <v>1</v>
      </c>
      <c r="G3" s="0" t="n">
        <v>1</v>
      </c>
      <c r="H3" s="0" t="n">
        <v>1</v>
      </c>
      <c r="I3" s="0" t="n">
        <v>1</v>
      </c>
      <c r="J3" s="0" t="n">
        <v>1</v>
      </c>
      <c r="K3" s="0" t="n">
        <v>1</v>
      </c>
      <c r="L3" s="0" t="n">
        <v>1</v>
      </c>
      <c r="M3" s="0" t="n">
        <v>1</v>
      </c>
      <c r="N3" s="0" t="n">
        <v>1</v>
      </c>
      <c r="O3" s="0" t="n">
        <v>1</v>
      </c>
      <c r="P3" s="0" t="n">
        <v>1</v>
      </c>
      <c r="Q3" s="0" t="n">
        <v>1</v>
      </c>
      <c r="R3" s="0" t="n">
        <v>0</v>
      </c>
      <c r="S3" s="0" t="n">
        <v>1</v>
      </c>
      <c r="T3" s="0" t="n">
        <v>0</v>
      </c>
      <c r="U3" s="0" t="n">
        <v>0.5</v>
      </c>
      <c r="V3" s="31" t="n">
        <v>0.54852335453657</v>
      </c>
    </row>
    <row r="4" customFormat="false" ht="13.8" hidden="false" customHeight="false" outlineLevel="0" collapsed="false">
      <c r="A4" s="39" t="s">
        <v>31</v>
      </c>
      <c r="B4" s="30" t="n">
        <v>0.132316</v>
      </c>
      <c r="C4" s="12" t="n">
        <v>0</v>
      </c>
      <c r="D4" s="0" t="n">
        <v>1</v>
      </c>
      <c r="E4" s="0" t="n">
        <v>1</v>
      </c>
      <c r="F4" s="0" t="n">
        <v>1</v>
      </c>
      <c r="G4" s="0" t="n">
        <v>1</v>
      </c>
      <c r="H4" s="0" t="n">
        <v>1</v>
      </c>
      <c r="I4" s="0" t="n">
        <v>1</v>
      </c>
      <c r="J4" s="0" t="n">
        <v>1</v>
      </c>
      <c r="K4" s="0" t="n">
        <v>1</v>
      </c>
      <c r="L4" s="0" t="n">
        <v>1</v>
      </c>
      <c r="M4" s="0" t="n">
        <v>1</v>
      </c>
      <c r="N4" s="0" t="n">
        <v>1</v>
      </c>
      <c r="O4" s="0" t="n">
        <v>1</v>
      </c>
      <c r="P4" s="0" t="n">
        <v>1</v>
      </c>
      <c r="Q4" s="0" t="n">
        <v>1</v>
      </c>
      <c r="R4" s="0" t="n">
        <v>0</v>
      </c>
      <c r="S4" s="0" t="n">
        <v>1</v>
      </c>
      <c r="T4" s="0" t="n">
        <v>0</v>
      </c>
      <c r="U4" s="0" t="n">
        <v>0.5</v>
      </c>
      <c r="V4" s="31" t="n">
        <v>0.54852335453657</v>
      </c>
      <c r="W4" s="6" t="n">
        <f aca="false">Main!W7</f>
        <v>743</v>
      </c>
    </row>
    <row r="5" customFormat="false" ht="13.8" hidden="false" customHeight="false" outlineLevel="0" collapsed="false">
      <c r="A5" s="0" t="s">
        <v>28</v>
      </c>
      <c r="B5" s="30" t="n">
        <v>0.132271</v>
      </c>
      <c r="C5" s="12" t="n">
        <v>0</v>
      </c>
      <c r="D5" s="0" t="n">
        <v>1</v>
      </c>
      <c r="E5" s="0" t="n">
        <v>1</v>
      </c>
      <c r="F5" s="0" t="n">
        <v>1</v>
      </c>
      <c r="G5" s="0" t="n">
        <v>1</v>
      </c>
      <c r="H5" s="0" t="n">
        <v>1</v>
      </c>
      <c r="I5" s="0" t="n">
        <v>1</v>
      </c>
      <c r="J5" s="0" t="n">
        <v>1</v>
      </c>
      <c r="K5" s="0" t="n">
        <v>1</v>
      </c>
      <c r="L5" s="0" t="n">
        <v>1</v>
      </c>
      <c r="M5" s="0" t="n">
        <v>1</v>
      </c>
      <c r="N5" s="0" t="n">
        <v>0.5</v>
      </c>
      <c r="O5" s="0" t="n">
        <v>1</v>
      </c>
      <c r="P5" s="0" t="n">
        <v>1</v>
      </c>
      <c r="Q5" s="0" t="n">
        <v>1</v>
      </c>
      <c r="R5" s="0" t="n">
        <v>0</v>
      </c>
      <c r="S5" s="0" t="n">
        <v>1</v>
      </c>
      <c r="T5" s="0" t="n">
        <v>0</v>
      </c>
      <c r="U5" s="0" t="n">
        <v>0.5</v>
      </c>
      <c r="V5" s="31" t="n">
        <v>0.534958826011471</v>
      </c>
    </row>
    <row r="6" customFormat="false" ht="13.8" hidden="false" customHeight="false" outlineLevel="0" collapsed="false">
      <c r="A6" s="0" t="s">
        <v>27</v>
      </c>
      <c r="B6" s="30" t="n">
        <v>0.133852</v>
      </c>
      <c r="C6" s="12" t="n">
        <v>0</v>
      </c>
      <c r="D6" s="0" t="n">
        <v>1</v>
      </c>
      <c r="E6" s="0" t="n">
        <v>1</v>
      </c>
      <c r="F6" s="0" t="n">
        <v>1</v>
      </c>
      <c r="G6" s="0" t="n">
        <v>1</v>
      </c>
      <c r="H6" s="0" t="n">
        <v>1</v>
      </c>
      <c r="I6" s="0" t="n">
        <v>1</v>
      </c>
      <c r="J6" s="0" t="n">
        <v>1</v>
      </c>
      <c r="K6" s="0" t="n">
        <v>1</v>
      </c>
      <c r="L6" s="0" t="n">
        <v>1</v>
      </c>
      <c r="M6" s="0" t="n">
        <v>1</v>
      </c>
      <c r="N6" s="0" t="n">
        <v>1</v>
      </c>
      <c r="O6" s="0" t="n">
        <v>1</v>
      </c>
      <c r="P6" s="0" t="n">
        <v>0.5</v>
      </c>
      <c r="Q6" s="0" t="n">
        <v>1</v>
      </c>
      <c r="R6" s="0" t="n">
        <v>0</v>
      </c>
      <c r="S6" s="0" t="n">
        <v>1</v>
      </c>
      <c r="T6" s="0" t="n">
        <v>0</v>
      </c>
      <c r="U6" s="0" t="n">
        <v>0.5</v>
      </c>
      <c r="V6" s="31" t="n">
        <v>0.521936878627375</v>
      </c>
      <c r="W6" s="0" t="n">
        <f aca="false">Main!W3</f>
        <v>731</v>
      </c>
    </row>
    <row r="7" customFormat="false" ht="13.8" hidden="false" customHeight="false" outlineLevel="0" collapsed="false">
      <c r="A7" s="0" t="s">
        <v>30</v>
      </c>
      <c r="B7" s="30" t="n">
        <v>0.132477</v>
      </c>
      <c r="C7" s="12" t="n">
        <v>0</v>
      </c>
      <c r="D7" s="0" t="n">
        <v>0.99</v>
      </c>
      <c r="E7" s="0" t="n">
        <v>1</v>
      </c>
      <c r="F7" s="0" t="n">
        <v>1</v>
      </c>
      <c r="G7" s="0" t="n">
        <v>1</v>
      </c>
      <c r="H7" s="0" t="n">
        <v>1</v>
      </c>
      <c r="I7" s="0" t="n">
        <v>1</v>
      </c>
      <c r="J7" s="0" t="n">
        <v>1</v>
      </c>
      <c r="K7" s="0" t="n">
        <v>1</v>
      </c>
      <c r="L7" s="0" t="n">
        <v>1</v>
      </c>
      <c r="M7" s="0" t="n">
        <v>1</v>
      </c>
      <c r="N7" s="0" t="n">
        <v>1</v>
      </c>
      <c r="O7" s="0" t="n">
        <v>1</v>
      </c>
      <c r="P7" s="0" t="n">
        <v>0.5</v>
      </c>
      <c r="Q7" s="0" t="n">
        <v>1</v>
      </c>
      <c r="R7" s="0" t="n">
        <v>0</v>
      </c>
      <c r="S7" s="0" t="n">
        <v>1</v>
      </c>
      <c r="T7" s="0" t="n">
        <v>0</v>
      </c>
      <c r="U7" s="0" t="n">
        <v>0</v>
      </c>
      <c r="V7" s="31" t="n">
        <v>0.378930047686369</v>
      </c>
      <c r="W7" s="6" t="n">
        <f aca="false">Main!W6</f>
        <v>734</v>
      </c>
    </row>
  </sheetData>
  <autoFilter ref="A2:W7"/>
  <conditionalFormatting sqref="D1:U1048576">
    <cfRule type="cellIs" priority="2" operator="greaterThan" aboveAverage="0" equalAverage="0" bottom="0" percent="0" rank="0" text="" dxfId="19">
      <formula>0.5</formula>
    </cfRule>
  </conditionalFormatting>
  <conditionalFormatting sqref="D1:U1048576">
    <cfRule type="cellIs" priority="3" operator="lessThan" aboveAverage="0" equalAverage="0" bottom="0" percent="0" rank="0" text="" dxfId="23">
      <formula>0.5</formula>
    </cfRule>
  </conditionalFormatting>
  <conditionalFormatting sqref="W2">
    <cfRule type="cellIs" priority="4" operator="greaterThan" aboveAverage="0" equalAverage="0" bottom="0" percent="0" rank="0" text="" dxfId="15">
      <formula>600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Roman,Navadno"&amp;12&amp;Kffffff&amp;A</oddHeader>
    <oddFooter>&amp;C&amp;"Times New Roman,Navadno"&amp;12&amp;KffffffPage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53443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2026-03-08T15:13:16Z</dcterms:created>
  <dc:creator/>
  <dc:description/>
  <dc:language>en-GB</dc:language>
  <cp:lastModifiedBy/>
  <dcterms:modified xsi:type="dcterms:W3CDTF">2026-05-06T12:38:08Z</dcterms:modified>
  <cp:revision>578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