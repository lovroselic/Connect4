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Main_10" sheetId="2" state="visible" r:id="rId4"/>
    <sheet name="Main_9" sheetId="3" state="visible" r:id="rId5"/>
    <sheet name="Main_8" sheetId="4" state="visible" r:id="rId6"/>
    <sheet name="Main_7" sheetId="5" state="visible" r:id="rId7"/>
    <sheet name="Main_6" sheetId="6" state="visible" r:id="rId8"/>
    <sheet name="Main_5" sheetId="7" state="visible" r:id="rId9"/>
    <sheet name="Main_4" sheetId="8" state="visible" r:id="rId10"/>
    <sheet name="Main_3" sheetId="9" state="visible" r:id="rId11"/>
    <sheet name="Main_2" sheetId="10" state="visible" r:id="rId12"/>
  </sheets>
  <definedNames>
    <definedName function="false" hidden="true" localSheetId="0" name="_xlnm._FilterDatabase" vbProcedure="false">Main!$A$2:$Y$18</definedName>
    <definedName function="false" hidden="true" localSheetId="1" name="_xlnm._FilterDatabase" vbProcedure="false">Main_10!$A$2:$Y$19</definedName>
    <definedName function="false" hidden="true" localSheetId="9" name="_xlnm._FilterDatabase" vbProcedure="false">Main_2!$A$2:$Y$21</definedName>
    <definedName function="false" hidden="true" localSheetId="8" name="_xlnm._FilterDatabase" vbProcedure="false">Main_3!$A$2:$Y$24</definedName>
    <definedName function="false" hidden="true" localSheetId="7" name="_xlnm._FilterDatabase" vbProcedure="false">Main_4!$A$2:$Y$22</definedName>
    <definedName function="false" hidden="true" localSheetId="6" name="_xlnm._FilterDatabase" vbProcedure="false">Main_5!$A$2:$Y$22</definedName>
    <definedName function="false" hidden="true" localSheetId="5" name="_xlnm._FilterDatabase" vbProcedure="false">Main_6!$A$2:$Y$21</definedName>
    <definedName function="false" hidden="true" localSheetId="4" name="_xlnm._FilterDatabase" vbProcedure="false">Main_7!$A$2:$Y$20</definedName>
    <definedName function="false" hidden="true" localSheetId="3" name="_xlnm._FilterDatabase" vbProcedure="false">Main_8!$A$2:$Y$20</definedName>
    <definedName function="false" hidden="true" localSheetId="2" name="_xlnm._FilterDatabase" vbProcedure="false">Main_9!$A$2:$Y$20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<sst xmlns="http://schemas.openxmlformats.org/spreadsheetml/2006/main" count="448" uniqueCount="57">
  <si>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</si>
  <si>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</si>
  <si>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</si>
  <si>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</si>
  <si>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</si>
  <si>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</si>
  <si>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</si>
  <si>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</si>
  <si>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</si>
  <si>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</si>
  <si>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</si>
  <si>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</si>
  <si>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</si>
  <si>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</si>
  <si>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</si>
  <si>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</si>
  <si>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</si>
  <si>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</si>
  <si>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</si>
  <si>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</si>
  <si>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</si>
  <si>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</si>
  <si>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</si>
  <si>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</si>
  <si>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</si>
  <si>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</si>
  <si>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PPO_853</t>
  </si>
  <si>
    <t xml:space="preserve">PPO_832</t>
  </si>
  <si>
    <t xml:space="preserve">PPO_827</t>
  </si>
  <si>
    <t xml:space="preserve">PPO_850</t>
  </si>
  <si>
    <t xml:space="preserve">PPO_820</t>
  </si>
  <si>
    <t xml:space="preserve">PPO_849</t>
  </si>
  <si>
    <t xml:space="preserve">PPO_812</t>
  </si>
  <si>
    <t xml:space="preserve">PPO_842</t>
  </si>
  <si>
    <t xml:space="preserve">PPO_914</t>
  </si>
  <si>
    <t xml:space="preserve">PPO_919</t>
  </si>
  <si>
    <t xml:space="preserve">PPO_920</t>
  </si>
  <si>
    <t xml:space="preserve">PPO_915</t>
  </si>
  <si>
    <t xml:space="preserve">PPO_909</t>
  </si>
  <si>
    <t xml:space="preserve">PPO_918</t>
  </si>
  <si>
    <t xml:space="preserve">BASE_9</t>
  </si>
  <si>
    <t xml:space="preserve">BASE_8</t>
  </si>
  <si>
    <t xml:space="preserve">PPO_851</t>
  </si>
  <si>
    <t xml:space="preserve">PPO_852X</t>
  </si>
  <si>
    <t xml:space="preserve">X_1</t>
  </si>
  <si>
    <t xml:space="preserve">SOUP_9</t>
  </si>
  <si>
    <t xml:space="preserve">PPO_848</t>
  </si>
  <si>
    <t xml:space="preserve">PPO_S1</t>
  </si>
  <si>
    <t xml:space="preserve">PPO_S2</t>
  </si>
  <si>
    <t xml:space="preserve">PPO_916</t>
  </si>
  <si>
    <t xml:space="preserve">PPO_845</t>
  </si>
  <si>
    <t xml:space="preserve">PPO_817</t>
  </si>
  <si>
    <t xml:space="preserve">PPO_901</t>
  </si>
  <si>
    <t xml:space="preserve">PPO_917</t>
  </si>
  <si>
    <t xml:space="preserve">PPO_836</t>
  </si>
  <si>
    <t xml:space="preserve">PPO_838</t>
  </si>
  <si>
    <t xml:space="preserve">PPO_834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</si>
</sst>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"/>
    <numFmt numFmtId="167" formatCode="0.0"/>
    <numFmt numFmtId="168" formatCode="0.00"/>
  </numFmts>
  <fonts count="7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</fonts>
  <fills count="12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8000"/>
        <bgColor rgb="FFFF6600"/>
      </patternFill>
    </fill>
    <fill>
      <patternFill patternType="solid">
        <fgColor rgb="FF800080"/>
        <bgColor rgb="FF800080"/>
      </patternFill>
    </fill>
    <fill>
      <patternFill patternType="solid">
        <fgColor rgb="FFFFA6A6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5EB91E"/>
          <bgColor rgb="FF000000"/>
        </patternFill>
      </fill>
    </dxf>
    <dxf>
      <fill>
        <patternFill patternType="solid">
          <fgColor rgb="FF729FCF"/>
          <bgColor rgb="FF000000"/>
        </patternFill>
      </fill>
    </dxf>
    <dxf>
      <fill>
        <patternFill patternType="solid">
          <fgColor rgb="FF800080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b val="1"/>
        <color rgb="FFFFFFFF"/>
        <sz val="11"/>
      </font>
      <fill>
        <patternFill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  <alignment horizontal="general" vertical="bottom" textRotation="0" wrapText="false" indent="0" shrinkToFit="false"/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DEE6EF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C0C0C0"/>
      <rgbColor rgb="FF808080"/>
      <rgbColor rgb="FF729FCF"/>
      <rgbColor rgb="FF993366"/>
      <rgbColor rgb="FFFFFFCC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CC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14" activeCellId="0" sqref="B14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0.988260423189413</v>
      </c>
      <c r="R1" s="8" t="n">
        <f aca="false">MAX(R3:R4)</f>
        <v>0.42</v>
      </c>
      <c r="S1" s="8" t="n">
        <f aca="false">MAX(S3:S4)</f>
        <v>1180.650011</v>
      </c>
      <c r="T1" s="8" t="n">
        <f aca="false">MAX(T3:T4)</f>
        <v>1166.78967950945</v>
      </c>
      <c r="U1" s="8" t="n">
        <f aca="false">MAX(U3:U4)</f>
        <v>0.704130211594707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103.248507712714</v>
      </c>
      <c r="Y1" s="8" t="n">
        <f aca="false">MAX(Y3:Y4)</f>
        <v>0.424989193278158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" t="n">
        <v>0.024491</v>
      </c>
      <c r="C3" s="1" t="n">
        <v>0</v>
      </c>
      <c r="D3" s="3" t="n">
        <v>0.995</v>
      </c>
      <c r="E3" s="4" t="n">
        <v>1</v>
      </c>
      <c r="F3" s="4" t="n">
        <v>1</v>
      </c>
      <c r="G3" s="4" t="n">
        <v>0.5</v>
      </c>
      <c r="H3" s="4" t="n">
        <v>1</v>
      </c>
      <c r="I3" s="4" t="n">
        <v>0.5</v>
      </c>
      <c r="J3" s="4" t="n">
        <v>1</v>
      </c>
      <c r="K3" s="4" t="n">
        <v>1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0.988260423189413</v>
      </c>
      <c r="R3" s="3" t="n">
        <v>0.42</v>
      </c>
      <c r="S3" s="2" t="n">
        <v>1180.650011</v>
      </c>
      <c r="T3" s="2" t="n">
        <f aca="false">Q3*S3</f>
        <v>1166.78967950945</v>
      </c>
      <c r="U3" s="5" t="n">
        <f aca="false">AVERAGE(Q3, R3)</f>
        <v>0.704130211594707</v>
      </c>
      <c r="V3" s="4" t="n">
        <f aca="false">D3*E3*F3*G3*H3*I3*J3*K3*L3*M3*N3*O3*P3*1000</f>
        <v>248.75</v>
      </c>
      <c r="X3" s="4" t="n">
        <f aca="false">V3*Q3*R3</f>
        <v>103.248507712714</v>
      </c>
      <c r="Y3" s="3" t="n">
        <f aca="false">R3/Q3</f>
        <v>0.424989193278158</v>
      </c>
    </row>
    <row r="4" customFormat="false" ht="15" hidden="false" customHeight="true" outlineLevel="0" collapsed="false">
      <c r="A4" s="20" t="s">
        <v>27</v>
      </c>
      <c r="B4" s="23" t="n">
        <v>4</v>
      </c>
      <c r="C4" s="24" t="n">
        <v>1</v>
      </c>
      <c r="D4" s="3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0.977045820810297</v>
      </c>
      <c r="R4" s="3" t="n">
        <v>0.347</v>
      </c>
      <c r="S4" s="2" t="n">
        <v>1108.235264</v>
      </c>
      <c r="T4" s="2" t="n">
        <f aca="false">Q4*S4</f>
        <v>1082.7966331658</v>
      </c>
      <c r="U4" s="5" t="n">
        <f aca="false">AVERAGE(Q4, R4)</f>
        <v>0.662022910405149</v>
      </c>
      <c r="V4" s="4" t="n">
        <f aca="false">D4*E4*F4*G4*H4*I4*J4*K4*L4*M4*N4*O4*P4*1000</f>
        <v>250</v>
      </c>
      <c r="W4" s="2" t="n">
        <v>548</v>
      </c>
      <c r="X4" s="4" t="n">
        <f aca="false">V4*Q4*R4</f>
        <v>84.7587249552933</v>
      </c>
      <c r="Y4" s="3" t="n">
        <f aca="false">R4/Q4</f>
        <v>0.355152227878342</v>
      </c>
    </row>
    <row r="5" customFormat="false" ht="15" hidden="false" customHeight="true" outlineLevel="0" collapsed="false">
      <c r="A5" s="25" t="s">
        <v>28</v>
      </c>
      <c r="B5" s="26" t="n">
        <v>3</v>
      </c>
      <c r="C5" s="24" t="n">
        <v>1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0.5</v>
      </c>
      <c r="I5" s="4" t="n">
        <v>1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0.9731534587056</v>
      </c>
      <c r="R5" s="3" t="n">
        <v>0.492</v>
      </c>
      <c r="S5" s="2" t="n">
        <v>1215.512154</v>
      </c>
      <c r="T5" s="2" t="n">
        <f aca="false">Q5*S5</f>
        <v>1182.87985676379</v>
      </c>
      <c r="U5" s="5" t="n">
        <f aca="false">AVERAGE(Q5, R5)</f>
        <v>0.7325767293528</v>
      </c>
      <c r="V5" s="4" t="n">
        <f aca="false">D5*E5*F5*G5*H5*I5*J5*K5*L5*M5*N5*O5*P5*1000</f>
        <v>248.75</v>
      </c>
      <c r="W5" s="2" t="n">
        <v>576</v>
      </c>
      <c r="X5" s="4" t="n">
        <f aca="false">V5*Q5*R5</f>
        <v>119.099386043685</v>
      </c>
      <c r="Y5" s="3" t="n">
        <f aca="false">R5/Q5</f>
        <v>0.505572883288535</v>
      </c>
    </row>
    <row r="6" customFormat="false" ht="15" hidden="false" customHeight="true" outlineLevel="0" collapsed="false">
      <c r="A6" s="20" t="s">
        <v>29</v>
      </c>
      <c r="B6" s="26" t="n">
        <v>0.023772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0.425</v>
      </c>
      <c r="S6" s="2" t="n">
        <v>1185.922536</v>
      </c>
      <c r="T6" s="2" t="n">
        <f aca="false">Q6*S6</f>
        <v>1151.49053846071</v>
      </c>
      <c r="U6" s="5" t="n">
        <f aca="false">AVERAGE(Q6, R6)</f>
        <v>0.697983032620567</v>
      </c>
      <c r="V6" s="4" t="n">
        <f aca="false">D6*E6*F6*G6*H6*I6*J6*K6*L6*M6*N6*O6*P6*1000</f>
        <v>250</v>
      </c>
      <c r="X6" s="4" t="n">
        <f aca="false">V6*Q6*R6</f>
        <v>103.16514443187</v>
      </c>
      <c r="Y6" s="3" t="n">
        <f aca="false">R6/Q6</f>
        <v>0.437708397043159</v>
      </c>
    </row>
    <row r="7" customFormat="false" ht="15" hidden="false" customHeight="true" outlineLevel="0" collapsed="false">
      <c r="A7" s="25" t="s">
        <v>30</v>
      </c>
      <c r="B7" s="26" t="n">
        <v>5</v>
      </c>
      <c r="C7" s="24" t="n">
        <v>1</v>
      </c>
      <c r="D7" s="3" t="n">
        <v>0.995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0.970937804343659</v>
      </c>
      <c r="R7" s="3" t="n">
        <v>0.472</v>
      </c>
      <c r="S7" s="2" t="n">
        <v>1251.935991</v>
      </c>
      <c r="T7" s="2" t="n">
        <f aca="false">Q7*S7</f>
        <v>1215.55198228034</v>
      </c>
      <c r="U7" s="5" t="n">
        <f aca="false">AVERAGE(Q7, R7)</f>
        <v>0.72146890217183</v>
      </c>
      <c r="V7" s="4" t="n">
        <f aca="false">D7*E7*F7*G7*H7*I7*J7*K7*L7*M7*N7*O7*P7*1000</f>
        <v>248.75</v>
      </c>
      <c r="W7" s="2" t="n">
        <v>695</v>
      </c>
      <c r="X7" s="4" t="n">
        <f aca="false">V7*Q7*R7</f>
        <v>113.997807607989</v>
      </c>
      <c r="Y7" s="3" t="n">
        <f aca="false">R7/Q7</f>
        <v>0.486127945465122</v>
      </c>
    </row>
    <row r="8" customFormat="false" ht="13.8" hidden="false" customHeight="false" outlineLevel="0" collapsed="false">
      <c r="A8" s="22" t="s">
        <v>31</v>
      </c>
      <c r="B8" s="26" t="n">
        <v>0.023025</v>
      </c>
      <c r="C8" s="1" t="n">
        <v>0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</v>
      </c>
      <c r="S8" s="2" t="n">
        <v>1267.273</v>
      </c>
      <c r="T8" s="2" t="n">
        <f aca="false">Q8*S8</f>
        <v>1230.443264124</v>
      </c>
      <c r="U8" s="5" t="n">
        <f aca="false">AVERAGE(Q8, R8)</f>
        <v>0.72046890217183</v>
      </c>
      <c r="V8" s="4" t="n">
        <f aca="false">D8*E8*F8*G8*H8*I8*J8*K8*L8*M8*N8*O8*P8*1000</f>
        <v>248.75</v>
      </c>
      <c r="X8" s="4" t="n">
        <f aca="false">V8*Q8*R8</f>
        <v>113.514766050328</v>
      </c>
      <c r="Y8" s="3" t="n">
        <f aca="false">R8/Q8</f>
        <v>0.484068081289423</v>
      </c>
    </row>
    <row r="9" customFormat="false" ht="15" hidden="false" customHeight="true" outlineLevel="0" collapsed="false">
      <c r="A9" s="20" t="s">
        <v>32</v>
      </c>
      <c r="B9" s="26" t="n">
        <v>3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0.5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0.966981278697337</v>
      </c>
      <c r="R9" s="3" t="n">
        <v>0.331</v>
      </c>
      <c r="S9" s="2" t="n">
        <v>1143.593</v>
      </c>
      <c r="T9" s="2" t="n">
        <f aca="false">Q9*S9</f>
        <v>1105.83302144932</v>
      </c>
      <c r="U9" s="5" t="n">
        <f aca="false">AVERAGE(Q9, R9)</f>
        <v>0.648990639348669</v>
      </c>
      <c r="V9" s="4" t="n">
        <f aca="false">D9*E9*F9*G9*H9*I9*J9*K9*L9*M9*N9*O9*P9*1000</f>
        <v>124.375</v>
      </c>
      <c r="W9" s="2" t="n">
        <v>625</v>
      </c>
      <c r="X9" s="4" t="n">
        <f aca="false">V9*Q9*R9</f>
        <v>39.8088061540718</v>
      </c>
      <c r="Y9" s="3" t="n">
        <f aca="false">R9/Q9</f>
        <v>0.342302387121605</v>
      </c>
    </row>
    <row r="10" customFormat="false" ht="15" hidden="false" customHeight="true" outlineLevel="0" collapsed="false">
      <c r="A10" s="20" t="s">
        <v>33</v>
      </c>
      <c r="B10" s="26" t="n">
        <v>0.024172</v>
      </c>
      <c r="C10" s="1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0.5</v>
      </c>
      <c r="L10" s="4" t="n">
        <v>0.5</v>
      </c>
      <c r="M10" s="4" t="n">
        <v>0.5</v>
      </c>
      <c r="N10" s="4" t="n">
        <v>1</v>
      </c>
      <c r="O10" s="4" t="n">
        <v>1</v>
      </c>
      <c r="P10" s="4" t="n">
        <v>1</v>
      </c>
      <c r="Q10" s="3" t="n">
        <v>0.925919352234368</v>
      </c>
      <c r="R10" s="3" t="n">
        <v>0.424</v>
      </c>
      <c r="S10" s="2" t="n">
        <v>1111.470511</v>
      </c>
      <c r="T10" s="2" t="n">
        <f aca="false">Q10*S10</f>
        <v>1029.13205557272</v>
      </c>
      <c r="U10" s="5" t="n">
        <f aca="false">AVERAGE(Q10, R10)</f>
        <v>0.674959676117184</v>
      </c>
      <c r="V10" s="4" t="n">
        <f aca="false">D10*E10*F10*G10*H10*I10*J10*K10*L10*M10*N10*O10*P10*1000</f>
        <v>61.875</v>
      </c>
      <c r="X10" s="4" t="n">
        <f aca="false">V10*Q10*R10</f>
        <v>24.2914942058686</v>
      </c>
      <c r="Y10" s="3" t="n">
        <f aca="false">R10/Q10</f>
        <v>0.457923251065906</v>
      </c>
    </row>
    <row r="11" customFormat="false" ht="15" hidden="false" customHeight="true" outlineLevel="0" collapsed="false">
      <c r="A11" s="20" t="s">
        <v>34</v>
      </c>
      <c r="B11" s="26" t="n">
        <v>0.023905</v>
      </c>
      <c r="C11" s="1" t="n">
        <v>0</v>
      </c>
      <c r="D11" s="3" t="n">
        <v>1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1</v>
      </c>
      <c r="N11" s="4" t="n">
        <v>0.5</v>
      </c>
      <c r="O11" s="4" t="n">
        <v>1</v>
      </c>
      <c r="P11" s="4" t="n">
        <v>0.5</v>
      </c>
      <c r="Q11" s="3" t="n">
        <v>0.713342583564223</v>
      </c>
      <c r="R11" s="3" t="n">
        <v>0.264</v>
      </c>
      <c r="S11" s="2" t="n">
        <v>1104.547427</v>
      </c>
      <c r="T11" s="2" t="n">
        <f aca="false">Q11*S11</f>
        <v>787.920715245395</v>
      </c>
      <c r="U11" s="5" t="n">
        <f aca="false">AVERAGE(Q11, R11)</f>
        <v>0.488671291782112</v>
      </c>
      <c r="V11" s="4" t="n">
        <f aca="false">D11*E11*F11*G11*H11*I11*J11*K11*L11*M11*N11*O11*P11*1000</f>
        <v>125</v>
      </c>
      <c r="W11" s="2" t="n">
        <v>478</v>
      </c>
      <c r="X11" s="4" t="n">
        <f aca="false">V11*Q11*R11</f>
        <v>23.5403052576194</v>
      </c>
      <c r="Y11" s="3" t="n">
        <f aca="false">R11/Q11</f>
        <v>0.370088658777276</v>
      </c>
    </row>
    <row r="12" customFormat="false" ht="15" hidden="false" customHeight="true" outlineLevel="0" collapsed="false">
      <c r="A12" s="20" t="s">
        <v>35</v>
      </c>
      <c r="B12" s="2" t="n">
        <v>0.024348</v>
      </c>
      <c r="C12" s="1" t="n">
        <v>0</v>
      </c>
      <c r="D12" s="3" t="n">
        <v>1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1</v>
      </c>
      <c r="M12" s="4" t="n">
        <v>1</v>
      </c>
      <c r="N12" s="4" t="n">
        <v>0.5</v>
      </c>
      <c r="O12" s="4" t="n">
        <v>1</v>
      </c>
      <c r="P12" s="4" t="n">
        <v>0.5</v>
      </c>
      <c r="Q12" s="3" t="n">
        <v>0.709544318943754</v>
      </c>
      <c r="R12" s="3" t="n">
        <v>0.276</v>
      </c>
      <c r="S12" s="2" t="n">
        <v>1216.231694</v>
      </c>
      <c r="T12" s="2" t="n">
        <f aca="false">Q12*S12</f>
        <v>862.970288997038</v>
      </c>
      <c r="U12" s="5" t="n">
        <f aca="false">AVERAGE(Q12, R12)</f>
        <v>0.492772159471877</v>
      </c>
      <c r="V12" s="4" t="n">
        <f aca="false">D12*E12*F12*G12*H12*I12*J12*K12*L12*M12*N12*O12*P12*1000</f>
        <v>125</v>
      </c>
      <c r="X12" s="4" t="n">
        <f aca="false">V12*Q12*R12</f>
        <v>24.4792790035595</v>
      </c>
      <c r="Y12" s="3" t="n">
        <f aca="false">R12/Q12</f>
        <v>0.388982044716898</v>
      </c>
    </row>
    <row r="13" customFormat="false" ht="15" hidden="false" customHeight="true" outlineLevel="0" collapsed="false">
      <c r="A13" s="20" t="s">
        <v>36</v>
      </c>
      <c r="B13" s="2" t="n">
        <v>0.024519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1</v>
      </c>
      <c r="J13" s="4" t="n">
        <v>1</v>
      </c>
      <c r="K13" s="4" t="n">
        <v>0.5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0.702099720287634</v>
      </c>
      <c r="R13" s="3" t="n">
        <v>0.262</v>
      </c>
      <c r="S13" s="2" t="n">
        <v>1163.038534</v>
      </c>
      <c r="T13" s="2" t="n">
        <f aca="false">Q13*S13</f>
        <v>816.56902940514</v>
      </c>
      <c r="U13" s="5" t="n">
        <f aca="false">AVERAGE(Q13, R13)</f>
        <v>0.482049860143817</v>
      </c>
      <c r="V13" s="4" t="n">
        <f aca="false">D13*E13*F13*G13*H13*I13*J13*K13*L13*M13*N13*O13*P13*1000</f>
        <v>125</v>
      </c>
      <c r="X13" s="4" t="n">
        <f aca="false">V13*Q13*R13</f>
        <v>22.99376583942</v>
      </c>
      <c r="Y13" s="3" t="n">
        <f aca="false">R13/Q13</f>
        <v>0.373166364306006</v>
      </c>
    </row>
    <row r="14" customFormat="false" ht="15" hidden="false" customHeight="true" outlineLevel="0" collapsed="false">
      <c r="A14" s="20" t="s">
        <v>37</v>
      </c>
      <c r="B14" s="23" t="n">
        <v>1</v>
      </c>
      <c r="C14" s="1" t="n">
        <v>0</v>
      </c>
      <c r="D14" s="3" t="n">
        <v>0.995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1</v>
      </c>
      <c r="J14" s="4" t="n">
        <v>1</v>
      </c>
      <c r="K14" s="4" t="n">
        <v>0.5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0.70207145939016</v>
      </c>
      <c r="R14" s="3" t="n">
        <v>0.274</v>
      </c>
      <c r="S14" s="2" t="n">
        <v>1188.985</v>
      </c>
      <c r="T14" s="2" t="n">
        <f aca="false">Q14*S14</f>
        <v>834.752434143009</v>
      </c>
      <c r="U14" s="5" t="n">
        <f aca="false">AVERAGE(Q14, R14)</f>
        <v>0.48803572969508</v>
      </c>
      <c r="V14" s="4" t="n">
        <f aca="false">D14*E14*F14*G14*H14*I14*J14*K14*L14*M14*N14*O14*P14*1000</f>
        <v>124.375</v>
      </c>
      <c r="X14" s="4" t="n">
        <f aca="false">V14*Q14*R14</f>
        <v>23.9257177466924</v>
      </c>
      <c r="Y14" s="3" t="n">
        <f aca="false">R14/Q14</f>
        <v>0.390273662794959</v>
      </c>
    </row>
    <row r="15" customFormat="false" ht="15" hidden="false" customHeight="true" outlineLevel="0" collapsed="false">
      <c r="A15" s="27" t="s">
        <v>38</v>
      </c>
      <c r="B15" s="26" t="n">
        <v>2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0.5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0.696532323485309</v>
      </c>
      <c r="R15" s="3" t="n">
        <v>0.251</v>
      </c>
      <c r="S15" s="2" t="n">
        <v>1143.952637</v>
      </c>
      <c r="T15" s="2" t="n">
        <f aca="false">Q15*S15</f>
        <v>796.799988206756</v>
      </c>
      <c r="U15" s="5" t="n">
        <f aca="false">AVERAGE(Q15, R15)</f>
        <v>0.473766161742655</v>
      </c>
      <c r="V15" s="4" t="n">
        <f aca="false">D15*E15*F15*G15*H15*I15*J15*K15*L15*M15*N15*O15*P15*1000</f>
        <v>62.1875</v>
      </c>
      <c r="W15" s="2" t="n">
        <v>554</v>
      </c>
      <c r="X15" s="4" t="n">
        <f aca="false">V15*Q15*R15</f>
        <v>10.8722165705524</v>
      </c>
      <c r="Y15" s="3" t="n">
        <f aca="false">R15/Q15</f>
        <v>0.360356571456793</v>
      </c>
    </row>
    <row r="16" customFormat="false" ht="15" hidden="false" customHeight="true" outlineLevel="0" collapsed="false">
      <c r="A16" s="20" t="s">
        <v>39</v>
      </c>
      <c r="B16" s="23" t="n">
        <v>1</v>
      </c>
      <c r="C16" s="1" t="n">
        <v>0</v>
      </c>
      <c r="D16" s="3" t="n">
        <v>1</v>
      </c>
      <c r="E16" s="4" t="n">
        <v>1</v>
      </c>
      <c r="F16" s="4" t="n">
        <v>1</v>
      </c>
      <c r="G16" s="4" t="n">
        <v>1</v>
      </c>
      <c r="H16" s="4" t="n">
        <v>1</v>
      </c>
      <c r="I16" s="4" t="n">
        <v>0.5</v>
      </c>
      <c r="J16" s="4" t="n">
        <v>1</v>
      </c>
      <c r="K16" s="4" t="n">
        <v>1</v>
      </c>
      <c r="L16" s="4" t="n">
        <v>0.5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0.688265174451678</v>
      </c>
      <c r="R16" s="3" t="n">
        <v>0.309</v>
      </c>
      <c r="S16" s="2" t="n">
        <v>1236.045285</v>
      </c>
      <c r="T16" s="2" t="n">
        <f aca="false">Q16*S16</f>
        <v>850.726923710699</v>
      </c>
      <c r="U16" s="5" t="n">
        <f aca="false">AVERAGE(Q16, R16)</f>
        <v>0.498632587225839</v>
      </c>
      <c r="V16" s="4" t="n">
        <f aca="false">D16*E16*F16*G16*H16*I16*J16*K16*L16*M16*N16*O16*P16*1000</f>
        <v>62.5</v>
      </c>
      <c r="X16" s="4" t="n">
        <f aca="false">V16*Q16*R16</f>
        <v>13.292121181598</v>
      </c>
      <c r="Y16" s="3" t="n">
        <f aca="false">R16/Q16</f>
        <v>0.448954867208227</v>
      </c>
    </row>
    <row r="17" customFormat="false" ht="15" hidden="false" customHeight="true" outlineLevel="0" collapsed="false">
      <c r="A17" s="24" t="s">
        <v>40</v>
      </c>
      <c r="B17" s="23" t="n">
        <v>99</v>
      </c>
      <c r="C17" s="28" t="n">
        <v>0</v>
      </c>
      <c r="D17" s="3" t="n">
        <v>1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0.5</v>
      </c>
      <c r="J17" s="4" t="n">
        <v>1</v>
      </c>
      <c r="K17" s="4" t="n">
        <v>0.5</v>
      </c>
      <c r="L17" s="4" t="n">
        <v>1</v>
      </c>
      <c r="M17" s="4" t="n">
        <v>0.5</v>
      </c>
      <c r="N17" s="4" t="n">
        <v>0.5</v>
      </c>
      <c r="O17" s="4" t="n">
        <v>0</v>
      </c>
      <c r="P17" s="4" t="n">
        <v>0</v>
      </c>
      <c r="Q17" s="3" t="n">
        <v>0.211354517282616</v>
      </c>
      <c r="R17" s="3" t="n">
        <v>0.15</v>
      </c>
      <c r="S17" s="2" t="n">
        <v>998.411</v>
      </c>
      <c r="T17" s="2" t="n">
        <f aca="false">Q17*S17</f>
        <v>211.018674954654</v>
      </c>
      <c r="U17" s="5" t="n">
        <f aca="false">AVERAGE(Q17, R17)</f>
        <v>0.180677258641308</v>
      </c>
      <c r="V17" s="4" t="n">
        <f aca="false">D17*E17*F17*G17*H17*I17*J17*K17*L17*M17*N17*O17*P17*1000</f>
        <v>0</v>
      </c>
      <c r="X17" s="4" t="n">
        <f aca="false">V17*Q17*R17</f>
        <v>0</v>
      </c>
      <c r="Y17" s="3" t="n">
        <f aca="false">R17/Q17</f>
        <v>0.709708039026321</v>
      </c>
    </row>
    <row r="18" customFormat="false" ht="15" hidden="false" customHeight="true" outlineLevel="0" collapsed="false">
      <c r="A18" s="24" t="s">
        <v>41</v>
      </c>
      <c r="B18" s="23" t="n">
        <v>99</v>
      </c>
      <c r="C18" s="28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0</v>
      </c>
      <c r="L18" s="4" t="n">
        <v>0.5</v>
      </c>
      <c r="M18" s="4" t="n">
        <v>0</v>
      </c>
      <c r="N18" s="4" t="n">
        <v>0</v>
      </c>
      <c r="O18" s="4" t="n">
        <v>0</v>
      </c>
      <c r="P18" s="4" t="n">
        <v>0</v>
      </c>
      <c r="Q18" s="3" t="n">
        <v>0.0866669481949934</v>
      </c>
      <c r="R18" s="3" t="n">
        <v>0.179</v>
      </c>
      <c r="S18" s="2" t="n">
        <v>983.426</v>
      </c>
      <c r="T18" s="2" t="n">
        <f aca="false">Q18*S18</f>
        <v>85.2305301956096</v>
      </c>
      <c r="U18" s="5" t="n">
        <f aca="false">AVERAGE(Q18, R18)</f>
        <v>0.132833474097497</v>
      </c>
      <c r="V18" s="4" t="n">
        <f aca="false">D18*E18*F18*G18*H18*I18*J18*K18*L18*M18*N18*O18*P18*1000</f>
        <v>0</v>
      </c>
      <c r="X18" s="4" t="n">
        <f aca="false">V18*Q18*R18</f>
        <v>0</v>
      </c>
      <c r="Y18" s="3" t="n">
        <f aca="false">R18/Q18</f>
        <v>2.06537790620324</v>
      </c>
    </row>
    <row r="1048509" customFormat="false" ht="13.8" hidden="false" customHeight="false" outlineLevel="0" collapsed="false"/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18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9:P12 E3:P7">
    <cfRule type="cellIs" priority="3" operator="equal" aboveAverage="0" equalAverage="0" bottom="0" percent="0" rank="0" text="" dxfId="15">
      <formula>1</formula>
    </cfRule>
  </conditionalFormatting>
  <conditionalFormatting sqref="S1:S7 S9:S1048576">
    <cfRule type="cellIs" priority="4" operator="greaterThan" aboveAverage="0" equalAverage="0" bottom="0" percent="0" rank="0" text="" dxfId="15">
      <formula>1100</formula>
    </cfRule>
  </conditionalFormatting>
  <conditionalFormatting sqref="E9:P1048576 E1:P7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9:Q1048576 Q1:Q7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9:W1048576 W1:W7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1048576">
    <cfRule type="cellIs" priority="11" operator="greaterThan" aboveAverage="0" equalAverage="0" bottom="0" percent="0" rank="0" text="" dxfId="17">
      <formula>0</formula>
    </cfRule>
  </conditionalFormatting>
  <conditionalFormatting sqref="R12:R1048576 R1:R7 R9:R10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8:P8">
    <cfRule type="cellIs" priority="15" operator="equal" aboveAverage="0" equalAverage="0" bottom="0" percent="0" rank="0" text="" dxfId="15">
      <formula>1</formula>
    </cfRule>
  </conditionalFormatting>
  <conditionalFormatting sqref="S8">
    <cfRule type="cellIs" priority="16" operator="greaterThan" aboveAverage="0" equalAverage="0" bottom="0" percent="0" rank="0" text="" dxfId="15">
      <formula>1100</formula>
    </cfRule>
  </conditionalFormatting>
  <conditionalFormatting sqref="E8:P8">
    <cfRule type="cellIs" priority="17" operator="lessThan" aboveAverage="0" equalAverage="0" bottom="0" percent="0" rank="0" text="" dxfId="16">
      <formula>0.5</formula>
    </cfRule>
  </conditionalFormatting>
  <conditionalFormatting sqref="Q8">
    <cfRule type="cellIs" priority="18" operator="greaterThan" aboveAverage="0" equalAverage="0" bottom="0" percent="0" rank="0" text="" dxfId="17">
      <formula>0.75</formula>
    </cfRule>
    <cfRule type="cellIs" priority="19" operator="lessThan" aboveAverage="0" equalAverage="0" bottom="0" percent="0" rank="0" text="" dxfId="18">
      <formula>0.6</formula>
    </cfRule>
  </conditionalFormatting>
  <conditionalFormatting sqref="W8">
    <cfRule type="cellIs" priority="20" operator="greaterThan" aboveAverage="0" equalAverage="0" bottom="0" percent="0" rank="0" text="" dxfId="17">
      <formula>600</formula>
    </cfRule>
  </conditionalFormatting>
  <conditionalFormatting sqref="R8">
    <cfRule type="cellIs" priority="21" operator="greaterThan" aboveAverage="0" equalAverage="0" bottom="0" percent="0" rank="0" text="" dxfId="19">
      <formula>0.45</formula>
    </cfRule>
  </conditionalFormatting>
  <conditionalFormatting sqref="R11">
    <cfRule type="cellIs" priority="22" operator="greaterThan" aboveAverage="0" equalAverage="0" bottom="0" percent="0" rank="0" text="" dxfId="19">
      <formula>0.45</formula>
    </cfRule>
  </conditionalFormatting>
  <conditionalFormatting sqref="E1:P1048576">
    <cfRule type="cellIs" priority="23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5" activeCellId="0" sqref="A5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0.988260423189413</v>
      </c>
      <c r="R1" s="8" t="n">
        <f aca="false">MAX(R3:R4)</f>
        <v>0.42</v>
      </c>
      <c r="S1" s="8" t="n">
        <f aca="false">MAX(S3:S4)</f>
        <v>1180.650011</v>
      </c>
      <c r="T1" s="8" t="n">
        <f aca="false">MAX(T3:T4)</f>
        <v>1166.78967950945</v>
      </c>
      <c r="U1" s="8" t="n">
        <f aca="false">MAX(U3:U4)</f>
        <v>0.704130211594707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103.248507712714</v>
      </c>
      <c r="Y1" s="8" t="n">
        <f aca="false">MAX(Y3:Y4)</f>
        <v>0.424989193278158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" t="n">
        <v>0.024491</v>
      </c>
      <c r="C3" s="1" t="n">
        <v>0</v>
      </c>
      <c r="D3" s="3" t="n">
        <v>0.995</v>
      </c>
      <c r="E3" s="4" t="n">
        <v>1</v>
      </c>
      <c r="F3" s="4" t="n">
        <v>1</v>
      </c>
      <c r="G3" s="4" t="n">
        <v>0.5</v>
      </c>
      <c r="H3" s="4" t="n">
        <v>1</v>
      </c>
      <c r="I3" s="4" t="n">
        <v>0.5</v>
      </c>
      <c r="J3" s="4" t="n">
        <v>1</v>
      </c>
      <c r="K3" s="4" t="n">
        <v>1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0.988260423189413</v>
      </c>
      <c r="R3" s="3" t="n">
        <v>0.42</v>
      </c>
      <c r="S3" s="2" t="n">
        <v>1180.650011</v>
      </c>
      <c r="T3" s="2" t="n">
        <f aca="false">Q3*S3</f>
        <v>1166.78967950945</v>
      </c>
      <c r="U3" s="5" t="n">
        <f aca="false">AVERAGE(Q3, R3)</f>
        <v>0.704130211594707</v>
      </c>
      <c r="V3" s="4" t="n">
        <f aca="false">D3*E3*F3*G3*H3*I3*J3*K3*L3*M3*N3*O3*P3*1000</f>
        <v>248.75</v>
      </c>
      <c r="X3" s="4" t="n">
        <f aca="false">V3*Q3*R3</f>
        <v>103.248507712714</v>
      </c>
      <c r="Y3" s="3" t="n">
        <f aca="false">R3/Q3</f>
        <v>0.424989193278158</v>
      </c>
    </row>
    <row r="4" customFormat="false" ht="15" hidden="false" customHeight="true" outlineLevel="0" collapsed="false">
      <c r="A4" s="20" t="s">
        <v>27</v>
      </c>
      <c r="B4" s="23" t="n">
        <v>4</v>
      </c>
      <c r="C4" s="24" t="n">
        <v>1</v>
      </c>
      <c r="D4" s="3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0.977045820810297</v>
      </c>
      <c r="R4" s="3" t="n">
        <v>0.347</v>
      </c>
      <c r="S4" s="2" t="n">
        <v>1108.235264</v>
      </c>
      <c r="T4" s="2" t="n">
        <f aca="false">Q4*S4</f>
        <v>1082.7966331658</v>
      </c>
      <c r="U4" s="5" t="n">
        <f aca="false">AVERAGE(Q4, R4)</f>
        <v>0.662022910405149</v>
      </c>
      <c r="V4" s="4" t="n">
        <f aca="false">D4*E4*F4*G4*H4*I4*J4*K4*L4*M4*N4*O4*P4*1000</f>
        <v>250</v>
      </c>
      <c r="W4" s="2" t="n">
        <v>548</v>
      </c>
      <c r="X4" s="4" t="n">
        <f aca="false">V4*Q4*R4</f>
        <v>84.7587249552933</v>
      </c>
      <c r="Y4" s="3" t="n">
        <f aca="false">R4/Q4</f>
        <v>0.355152227878342</v>
      </c>
    </row>
    <row r="5" customFormat="false" ht="15" hidden="false" customHeight="true" outlineLevel="0" collapsed="false">
      <c r="A5" s="29" t="s">
        <v>42</v>
      </c>
      <c r="B5" s="23" t="n">
        <v>3</v>
      </c>
      <c r="C5" s="1" t="n">
        <v>0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0.5</v>
      </c>
      <c r="L5" s="4" t="n">
        <v>1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0.977017559912824</v>
      </c>
      <c r="R5" s="3" t="n">
        <v>0.462</v>
      </c>
      <c r="S5" s="2" t="n">
        <v>1165.903224</v>
      </c>
      <c r="T5" s="2" t="n">
        <f aca="false">Q5*S5</f>
        <v>1139.10792300697</v>
      </c>
      <c r="U5" s="5" t="n">
        <f aca="false">AVERAGE(Q5, R5)</f>
        <v>0.719508779956412</v>
      </c>
      <c r="V5" s="4" t="n">
        <f aca="false">D5*E5*F5*G5*H5*I5*J5*K5*L5*M5*N5*O5*P5*1000</f>
        <v>248.75</v>
      </c>
      <c r="W5" s="2" t="n">
        <v>516</v>
      </c>
      <c r="X5" s="4" t="n">
        <f aca="false">V5*Q5*R5</f>
        <v>112.281300529082</v>
      </c>
      <c r="Y5" s="3" t="n">
        <f aca="false">R5/Q5</f>
        <v>0.472867652492574</v>
      </c>
    </row>
    <row r="6" customFormat="false" ht="15" hidden="false" customHeight="true" outlineLevel="0" collapsed="false">
      <c r="A6" s="25" t="s">
        <v>28</v>
      </c>
      <c r="B6" s="26" t="n">
        <v>3</v>
      </c>
      <c r="C6" s="24" t="n">
        <v>1</v>
      </c>
      <c r="D6" s="3" t="n">
        <v>0.995</v>
      </c>
      <c r="E6" s="4" t="n">
        <v>1</v>
      </c>
      <c r="F6" s="4" t="n">
        <v>1</v>
      </c>
      <c r="G6" s="4" t="n">
        <v>1</v>
      </c>
      <c r="H6" s="4" t="n">
        <v>0.5</v>
      </c>
      <c r="I6" s="4" t="n">
        <v>1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0.9731534587056</v>
      </c>
      <c r="R6" s="3" t="n">
        <v>0.492</v>
      </c>
      <c r="S6" s="2" t="n">
        <v>1215.512154</v>
      </c>
      <c r="T6" s="2" t="n">
        <f aca="false">Q6*S6</f>
        <v>1182.87985676379</v>
      </c>
      <c r="U6" s="5" t="n">
        <f aca="false">AVERAGE(Q6, R6)</f>
        <v>0.7325767293528</v>
      </c>
      <c r="V6" s="4" t="n">
        <f aca="false">D6*E6*F6*G6*H6*I6*J6*K6*L6*M6*N6*O6*P6*1000</f>
        <v>248.75</v>
      </c>
      <c r="W6" s="2" t="n">
        <v>576</v>
      </c>
      <c r="X6" s="4" t="n">
        <f aca="false">V6*Q6*R6</f>
        <v>119.099386043685</v>
      </c>
      <c r="Y6" s="3" t="n">
        <f aca="false">R6/Q6</f>
        <v>0.505572883288535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30</v>
      </c>
      <c r="B8" s="26" t="n">
        <v>5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3.8" hidden="false" customHeight="false" outlineLevel="0" collapsed="false">
      <c r="A9" s="22" t="s">
        <v>31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0" t="s">
        <v>32</v>
      </c>
      <c r="B10" s="26" t="n">
        <v>3</v>
      </c>
      <c r="C10" s="1" t="n">
        <v>0</v>
      </c>
      <c r="D10" s="3" t="n">
        <v>0.995</v>
      </c>
      <c r="E10" s="4" t="n">
        <v>1</v>
      </c>
      <c r="F10" s="4" t="n">
        <v>1</v>
      </c>
      <c r="G10" s="4" t="n">
        <v>0.5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0.966981278697337</v>
      </c>
      <c r="R10" s="3" t="n">
        <v>0.331</v>
      </c>
      <c r="S10" s="2" t="n">
        <v>1143.593</v>
      </c>
      <c r="T10" s="2" t="n">
        <f aca="false">Q10*S10</f>
        <v>1105.83302144932</v>
      </c>
      <c r="U10" s="5" t="n">
        <f aca="false">AVERAGE(Q10, R10)</f>
        <v>0.648990639348669</v>
      </c>
      <c r="V10" s="4" t="n">
        <f aca="false">D10*E10*F10*G10*H10*I10*J10*K10*L10*M10*N10*O10*P10*1000</f>
        <v>124.375</v>
      </c>
      <c r="W10" s="2" t="n">
        <v>625</v>
      </c>
      <c r="X10" s="4" t="n">
        <f aca="false">V10*Q10*R10</f>
        <v>39.8088061540718</v>
      </c>
      <c r="Y10" s="3" t="n">
        <f aca="false">R10/Q10</f>
        <v>0.342302387121605</v>
      </c>
    </row>
    <row r="11" customFormat="false" ht="15" hidden="false" customHeight="true" outlineLevel="0" collapsed="false">
      <c r="A11" s="20" t="s">
        <v>33</v>
      </c>
      <c r="B11" s="26" t="n">
        <v>0.024172</v>
      </c>
      <c r="C11" s="1" t="n">
        <v>0</v>
      </c>
      <c r="D11" s="3" t="n">
        <v>0.99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0.5</v>
      </c>
      <c r="L11" s="4" t="n">
        <v>0.5</v>
      </c>
      <c r="M11" s="4" t="n">
        <v>0.5</v>
      </c>
      <c r="N11" s="4" t="n">
        <v>1</v>
      </c>
      <c r="O11" s="4" t="n">
        <v>1</v>
      </c>
      <c r="P11" s="4" t="n">
        <v>1</v>
      </c>
      <c r="Q11" s="3" t="n">
        <v>0.925919352234368</v>
      </c>
      <c r="R11" s="3" t="n">
        <v>0.424</v>
      </c>
      <c r="S11" s="2" t="n">
        <v>1111.470511</v>
      </c>
      <c r="T11" s="2" t="n">
        <f aca="false">Q11*S11</f>
        <v>1029.13205557272</v>
      </c>
      <c r="U11" s="5" t="n">
        <f aca="false">AVERAGE(Q11, R11)</f>
        <v>0.674959676117184</v>
      </c>
      <c r="V11" s="4" t="n">
        <f aca="false">D11*E11*F11*G11*H11*I11*J11*K11*L11*M11*N11*O11*P11*1000</f>
        <v>61.875</v>
      </c>
      <c r="X11" s="4" t="n">
        <f aca="false">V11*Q11*R11</f>
        <v>24.2914942058686</v>
      </c>
      <c r="Y11" s="3" t="n">
        <f aca="false">R11/Q11</f>
        <v>0.457923251065906</v>
      </c>
    </row>
    <row r="12" customFormat="false" ht="15" hidden="false" customHeight="true" outlineLevel="0" collapsed="false">
      <c r="A12" s="20" t="s">
        <v>34</v>
      </c>
      <c r="B12" s="26" t="n">
        <v>0.023905</v>
      </c>
      <c r="C12" s="1" t="n">
        <v>0</v>
      </c>
      <c r="D12" s="3" t="n">
        <v>1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1</v>
      </c>
      <c r="J12" s="4" t="n">
        <v>1</v>
      </c>
      <c r="K12" s="4" t="n">
        <v>1</v>
      </c>
      <c r="L12" s="4" t="n">
        <v>1</v>
      </c>
      <c r="M12" s="4" t="n">
        <v>1</v>
      </c>
      <c r="N12" s="4" t="n">
        <v>0.5</v>
      </c>
      <c r="O12" s="4" t="n">
        <v>1</v>
      </c>
      <c r="P12" s="4" t="n">
        <v>0.5</v>
      </c>
      <c r="Q12" s="3" t="n">
        <v>0.713342583564223</v>
      </c>
      <c r="R12" s="3" t="n">
        <v>0.264</v>
      </c>
      <c r="S12" s="2" t="n">
        <v>1104.547427</v>
      </c>
      <c r="T12" s="2" t="n">
        <f aca="false">Q12*S12</f>
        <v>787.920715245395</v>
      </c>
      <c r="U12" s="5" t="n">
        <f aca="false">AVERAGE(Q12, R12)</f>
        <v>0.488671291782112</v>
      </c>
      <c r="V12" s="4" t="n">
        <f aca="false">D12*E12*F12*G12*H12*I12*J12*K12*L12*M12*N12*O12*P12*1000</f>
        <v>125</v>
      </c>
      <c r="W12" s="2" t="n">
        <v>478</v>
      </c>
      <c r="X12" s="4" t="n">
        <f aca="false">V12*Q12*R12</f>
        <v>23.5403052576194</v>
      </c>
      <c r="Y12" s="3" t="n">
        <f aca="false">R12/Q12</f>
        <v>0.370088658777276</v>
      </c>
    </row>
    <row r="13" customFormat="false" ht="15" hidden="false" customHeight="true" outlineLevel="0" collapsed="false">
      <c r="A13" s="20" t="s">
        <v>35</v>
      </c>
      <c r="B13" s="2" t="n">
        <v>0.024348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0.709544318943754</v>
      </c>
      <c r="R13" s="3" t="n">
        <v>0.276</v>
      </c>
      <c r="S13" s="2" t="n">
        <v>1216.231694</v>
      </c>
      <c r="T13" s="2" t="n">
        <f aca="false">Q13*S13</f>
        <v>862.970288997038</v>
      </c>
      <c r="U13" s="5" t="n">
        <f aca="false">AVERAGE(Q13, R13)</f>
        <v>0.492772159471877</v>
      </c>
      <c r="V13" s="4" t="n">
        <f aca="false">D13*E13*F13*G13*H13*I13*J13*K13*L13*M13*N13*O13*P13*1000</f>
        <v>125</v>
      </c>
      <c r="X13" s="4" t="n">
        <f aca="false">V13*Q13*R13</f>
        <v>24.4792790035595</v>
      </c>
      <c r="Y13" s="3" t="n">
        <f aca="false">R13/Q13</f>
        <v>0.388982044716898</v>
      </c>
    </row>
    <row r="14" customFormat="false" ht="15" hidden="false" customHeight="true" outlineLevel="0" collapsed="false">
      <c r="A14" s="20" t="s">
        <v>36</v>
      </c>
      <c r="B14" s="2" t="n">
        <v>0.024519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1</v>
      </c>
      <c r="J14" s="4" t="n">
        <v>1</v>
      </c>
      <c r="K14" s="4" t="n">
        <v>0.5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0.702099720287634</v>
      </c>
      <c r="R14" s="3" t="n">
        <v>0.262</v>
      </c>
      <c r="S14" s="2" t="n">
        <v>1163.038534</v>
      </c>
      <c r="T14" s="2" t="n">
        <f aca="false">Q14*S14</f>
        <v>816.56902940514</v>
      </c>
      <c r="U14" s="5" t="n">
        <f aca="false">AVERAGE(Q14, R14)</f>
        <v>0.482049860143817</v>
      </c>
      <c r="V14" s="4" t="n">
        <f aca="false">D14*E14*F14*G14*H14*I14*J14*K14*L14*M14*N14*O14*P14*1000</f>
        <v>125</v>
      </c>
      <c r="X14" s="4" t="n">
        <f aca="false">V14*Q14*R14</f>
        <v>22.99376583942</v>
      </c>
      <c r="Y14" s="3" t="n">
        <f aca="false">R14/Q14</f>
        <v>0.373166364306006</v>
      </c>
    </row>
    <row r="15" customFormat="false" ht="15" hidden="false" customHeight="true" outlineLevel="0" collapsed="false">
      <c r="A15" s="20" t="s">
        <v>37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27" t="s">
        <v>38</v>
      </c>
      <c r="B16" s="26" t="n">
        <v>2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0.251</v>
      </c>
      <c r="S16" s="2" t="n">
        <v>1143.952637</v>
      </c>
      <c r="T16" s="2" t="n">
        <f aca="false">Q16*S16</f>
        <v>796.799988206756</v>
      </c>
      <c r="U16" s="5" t="n">
        <f aca="false">AVERAGE(Q16, R16)</f>
        <v>0.473766161742655</v>
      </c>
      <c r="V16" s="4" t="n">
        <f aca="false">D16*E16*F16*G16*H16*I16*J16*K16*L16*M16*N16*O16*P16*1000</f>
        <v>62.1875</v>
      </c>
      <c r="W16" s="2" t="n">
        <v>554</v>
      </c>
      <c r="X16" s="4" t="n">
        <f aca="false">V16*Q16*R16</f>
        <v>10.8722165705524</v>
      </c>
      <c r="Y16" s="3" t="n">
        <f aca="false">R16/Q16</f>
        <v>0.360356571456793</v>
      </c>
    </row>
    <row r="17" customFormat="false" ht="15" hidden="false" customHeight="true" outlineLevel="0" collapsed="false">
      <c r="A17" s="20" t="s">
        <v>39</v>
      </c>
      <c r="B17" s="23" t="n">
        <v>1</v>
      </c>
      <c r="C17" s="1" t="n">
        <v>0</v>
      </c>
      <c r="D17" s="3" t="n">
        <v>1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0.5</v>
      </c>
      <c r="J17" s="4" t="n">
        <v>1</v>
      </c>
      <c r="K17" s="4" t="n">
        <v>1</v>
      </c>
      <c r="L17" s="4" t="n">
        <v>0.5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0.688265174451678</v>
      </c>
      <c r="R17" s="3" t="n">
        <v>0.309</v>
      </c>
      <c r="S17" s="2" t="n">
        <v>1236.045285</v>
      </c>
      <c r="T17" s="2" t="n">
        <f aca="false">Q17*S17</f>
        <v>850.726923710699</v>
      </c>
      <c r="U17" s="5" t="n">
        <f aca="false">AVERAGE(Q17, R17)</f>
        <v>0.498632587225839</v>
      </c>
      <c r="V17" s="4" t="n">
        <f aca="false">D17*E17*F17*G17*H17*I17*J17*K17*L17*M17*N17*O17*P17*1000</f>
        <v>62.5</v>
      </c>
      <c r="X17" s="4" t="n">
        <f aca="false">V17*Q17*R17</f>
        <v>13.292121181598</v>
      </c>
      <c r="Y17" s="3" t="n">
        <f aca="false">R17/Q17</f>
        <v>0.448954867208227</v>
      </c>
    </row>
    <row r="18" customFormat="false" ht="15" hidden="false" customHeight="true" outlineLevel="0" collapsed="false">
      <c r="A18" s="24" t="s">
        <v>40</v>
      </c>
      <c r="B18" s="2" t="n">
        <v>0.018995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0.5</v>
      </c>
      <c r="L18" s="4" t="n">
        <v>1</v>
      </c>
      <c r="M18" s="4" t="n">
        <v>0.5</v>
      </c>
      <c r="N18" s="4" t="n">
        <v>0.5</v>
      </c>
      <c r="O18" s="4" t="n">
        <v>0</v>
      </c>
      <c r="P18" s="4" t="n">
        <v>0</v>
      </c>
      <c r="Q18" s="3" t="n">
        <v>0.211354517282616</v>
      </c>
      <c r="R18" s="3" t="n">
        <v>0.15</v>
      </c>
      <c r="S18" s="2" t="n">
        <v>998.411</v>
      </c>
      <c r="T18" s="2" t="n">
        <f aca="false">Q18*S18</f>
        <v>211.018674954654</v>
      </c>
      <c r="U18" s="5" t="n">
        <f aca="false">AVERAGE(Q18, R18)</f>
        <v>0.180677258641308</v>
      </c>
      <c r="V18" s="4" t="n">
        <f aca="false">D18*E18*F18*G18*H18*I18*J18*K18*L18*M18*N18*O18*P18*1000</f>
        <v>0</v>
      </c>
      <c r="X18" s="4" t="n">
        <f aca="false">V18*Q18*R18</f>
        <v>0</v>
      </c>
      <c r="Y18" s="3" t="n">
        <f aca="false">R18/Q18</f>
        <v>0.709708039026321</v>
      </c>
    </row>
    <row r="19" customFormat="false" ht="15" hidden="false" customHeight="true" outlineLevel="0" collapsed="false">
      <c r="A19" s="24" t="s">
        <v>41</v>
      </c>
      <c r="B19" s="2" t="n">
        <v>0.018061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</v>
      </c>
      <c r="L19" s="4" t="n">
        <v>0.5</v>
      </c>
      <c r="M19" s="4" t="n">
        <v>0</v>
      </c>
      <c r="N19" s="4" t="n">
        <v>0</v>
      </c>
      <c r="O19" s="4" t="n">
        <v>0</v>
      </c>
      <c r="P19" s="4" t="n">
        <v>0</v>
      </c>
      <c r="Q19" s="3" t="n">
        <v>0.0866669481949934</v>
      </c>
      <c r="R19" s="3" t="n">
        <v>0.179</v>
      </c>
      <c r="S19" s="2" t="n">
        <v>983.426</v>
      </c>
      <c r="T19" s="2" t="n">
        <f aca="false">Q19*S19</f>
        <v>85.2305301956096</v>
      </c>
      <c r="U19" s="5" t="n">
        <f aca="false">AVERAGE(Q19, R19)</f>
        <v>0.132833474097497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2.06537790620324</v>
      </c>
    </row>
    <row r="1048510" customFormat="false" ht="13.8" hidden="false" customHeight="false" outlineLevel="0" collapsed="false"/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19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3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1:Q1048576 T5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4 V6:V1048576 U5:V5">
    <cfRule type="cellIs" priority="11" operator="greaterThan" aboveAverage="0" equalAverage="0" bottom="0" percent="0" rank="0" text="" dxfId="17">
      <formula>0</formula>
    </cfRule>
  </conditionalFormatting>
  <conditionalFormatting sqref="R1:R1048576 V5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0" activeCellId="0" sqref="A10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0.988260423189413</v>
      </c>
      <c r="R1" s="8" t="n">
        <f aca="false">MAX(R3:R4)</f>
        <v>0.42</v>
      </c>
      <c r="S1" s="8" t="n">
        <f aca="false">MAX(S3:S4)</f>
        <v>1180.650011</v>
      </c>
      <c r="T1" s="8" t="n">
        <f aca="false">MAX(T3:T4)</f>
        <v>1166.78967950945</v>
      </c>
      <c r="U1" s="8" t="n">
        <f aca="false">MAX(U3:U4)</f>
        <v>0.704130211594707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103.248507712714</v>
      </c>
      <c r="Y1" s="8" t="n">
        <f aca="false">MAX(Y3:Y4)</f>
        <v>0.424989193278158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2" t="s">
        <v>26</v>
      </c>
      <c r="B3" s="2" t="n">
        <v>0.024491</v>
      </c>
      <c r="C3" s="1" t="n">
        <v>0</v>
      </c>
      <c r="D3" s="3" t="n">
        <v>0.995</v>
      </c>
      <c r="E3" s="4" t="n">
        <v>1</v>
      </c>
      <c r="F3" s="4" t="n">
        <v>1</v>
      </c>
      <c r="G3" s="4" t="n">
        <v>0.5</v>
      </c>
      <c r="H3" s="4" t="n">
        <v>1</v>
      </c>
      <c r="I3" s="4" t="n">
        <v>0.5</v>
      </c>
      <c r="J3" s="4" t="n">
        <v>1</v>
      </c>
      <c r="K3" s="4" t="n">
        <v>1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0.988260423189413</v>
      </c>
      <c r="R3" s="3" t="n">
        <v>0.42</v>
      </c>
      <c r="S3" s="2" t="n">
        <v>1180.650011</v>
      </c>
      <c r="T3" s="2" t="n">
        <f aca="false">Q3*S3</f>
        <v>1166.78967950945</v>
      </c>
      <c r="U3" s="5" t="n">
        <f aca="false">AVERAGE(Q3, R3)</f>
        <v>0.704130211594707</v>
      </c>
      <c r="V3" s="4" t="n">
        <f aca="false">D3*E3*F3*G3*H3*I3*J3*K3*L3*M3*N3*O3*P3*1000</f>
        <v>248.75</v>
      </c>
      <c r="X3" s="4" t="n">
        <f aca="false">V3*Q3*R3</f>
        <v>103.248507712714</v>
      </c>
      <c r="Y3" s="3" t="n">
        <f aca="false">R3/Q3</f>
        <v>0.424989193278158</v>
      </c>
    </row>
    <row r="4" customFormat="false" ht="15" hidden="false" customHeight="true" outlineLevel="0" collapsed="false">
      <c r="A4" s="20" t="s">
        <v>27</v>
      </c>
      <c r="B4" s="23" t="n">
        <v>4</v>
      </c>
      <c r="C4" s="24" t="n">
        <v>1</v>
      </c>
      <c r="D4" s="3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0.977045820810297</v>
      </c>
      <c r="R4" s="3" t="n">
        <v>0.347</v>
      </c>
      <c r="S4" s="2" t="n">
        <v>1108.235264</v>
      </c>
      <c r="T4" s="2" t="n">
        <f aca="false">Q4*S4</f>
        <v>1082.7966331658</v>
      </c>
      <c r="U4" s="5" t="n">
        <f aca="false">AVERAGE(Q4, R4)</f>
        <v>0.662022910405149</v>
      </c>
      <c r="V4" s="4" t="n">
        <f aca="false">D4*E4*F4*G4*H4*I4*J4*K4*L4*M4*N4*O4*P4*1000</f>
        <v>250</v>
      </c>
      <c r="W4" s="2" t="n">
        <v>548</v>
      </c>
      <c r="X4" s="4" t="n">
        <f aca="false">V4*Q4*R4</f>
        <v>84.7587249552933</v>
      </c>
      <c r="Y4" s="3" t="n">
        <f aca="false">R4/Q4</f>
        <v>0.355152227878342</v>
      </c>
    </row>
    <row r="5" customFormat="false" ht="15" hidden="false" customHeight="true" outlineLevel="0" collapsed="false">
      <c r="A5" s="22" t="s">
        <v>42</v>
      </c>
      <c r="B5" s="23" t="n">
        <v>3</v>
      </c>
      <c r="C5" s="1" t="n">
        <v>0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0.5</v>
      </c>
      <c r="L5" s="4" t="n">
        <v>1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0.977017559912824</v>
      </c>
      <c r="R5" s="3" t="n">
        <v>0.462</v>
      </c>
      <c r="S5" s="2" t="n">
        <v>1165.903224</v>
      </c>
      <c r="T5" s="2" t="n">
        <f aca="false">Q5*S5</f>
        <v>1139.10792300697</v>
      </c>
      <c r="U5" s="5" t="n">
        <f aca="false">AVERAGE(Q5, R5)</f>
        <v>0.719508779956412</v>
      </c>
      <c r="V5" s="4" t="n">
        <f aca="false">D5*E5*F5*G5*H5*I5*J5*K5*L5*M5*N5*O5*P5*1000</f>
        <v>248.75</v>
      </c>
      <c r="W5" s="2" t="n">
        <v>516</v>
      </c>
      <c r="X5" s="4" t="n">
        <f aca="false">V5*Q5*R5</f>
        <v>112.281300529082</v>
      </c>
      <c r="Y5" s="3" t="n">
        <f aca="false">R5/Q5</f>
        <v>0.472867652492574</v>
      </c>
    </row>
    <row r="6" customFormat="false" ht="15" hidden="false" customHeight="true" outlineLevel="0" collapsed="false">
      <c r="A6" s="25" t="s">
        <v>28</v>
      </c>
      <c r="B6" s="26" t="n">
        <v>3</v>
      </c>
      <c r="C6" s="24" t="n">
        <v>1</v>
      </c>
      <c r="D6" s="3" t="n">
        <v>0.995</v>
      </c>
      <c r="E6" s="4" t="n">
        <v>1</v>
      </c>
      <c r="F6" s="4" t="n">
        <v>1</v>
      </c>
      <c r="G6" s="4" t="n">
        <v>1</v>
      </c>
      <c r="H6" s="4" t="n">
        <v>0.5</v>
      </c>
      <c r="I6" s="4" t="n">
        <v>1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0.9731534587056</v>
      </c>
      <c r="R6" s="3" t="n">
        <v>0.492</v>
      </c>
      <c r="S6" s="2" t="n">
        <v>1215.512154</v>
      </c>
      <c r="T6" s="2" t="n">
        <f aca="false">Q6*S6</f>
        <v>1182.87985676379</v>
      </c>
      <c r="U6" s="5" t="n">
        <f aca="false">AVERAGE(Q6, R6)</f>
        <v>0.7325767293528</v>
      </c>
      <c r="V6" s="4" t="n">
        <f aca="false">D6*E6*F6*G6*H6*I6*J6*K6*L6*M6*N6*O6*P6*1000</f>
        <v>248.75</v>
      </c>
      <c r="W6" s="2" t="n">
        <v>576</v>
      </c>
      <c r="X6" s="4" t="n">
        <f aca="false">V6*Q6*R6</f>
        <v>119.099386043685</v>
      </c>
      <c r="Y6" s="3" t="n">
        <f aca="false">R6/Q6</f>
        <v>0.505572883288535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30</v>
      </c>
      <c r="B8" s="26" t="n">
        <v>5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3.8" hidden="false" customHeight="false" outlineLevel="0" collapsed="false">
      <c r="A9" s="22" t="s">
        <v>31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9" t="s">
        <v>43</v>
      </c>
      <c r="B10" s="2" t="n">
        <v>0.026486</v>
      </c>
      <c r="C10" s="1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0.459</v>
      </c>
      <c r="S10" s="2" t="n">
        <v>1195.016817</v>
      </c>
      <c r="T10" s="2" t="n">
        <f aca="false">Q10*S10</f>
        <v>1160.25323220398</v>
      </c>
      <c r="U10" s="5" t="n">
        <f aca="false">AVERAGE(Q10, R10)</f>
        <v>0.714954771723093</v>
      </c>
      <c r="V10" s="4" t="n">
        <f aca="false">D10*E10*F10*G10*H10*I10*J10*K10*L10*M10*N10*O10*P10*1000</f>
        <v>247.5</v>
      </c>
      <c r="X10" s="4" t="n">
        <f aca="false">V10*Q10*R10</f>
        <v>110.297751409345</v>
      </c>
      <c r="Y10" s="3" t="n">
        <f aca="false">R10/Q10</f>
        <v>0.472752588640552</v>
      </c>
    </row>
    <row r="11" customFormat="false" ht="15" hidden="false" customHeight="true" outlineLevel="0" collapsed="false">
      <c r="A11" s="20" t="s">
        <v>32</v>
      </c>
      <c r="B11" s="26" t="n">
        <v>3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0.966981278697337</v>
      </c>
      <c r="R11" s="3" t="n">
        <v>0.331</v>
      </c>
      <c r="S11" s="2" t="n">
        <v>1143.593</v>
      </c>
      <c r="T11" s="2" t="n">
        <f aca="false">Q11*S11</f>
        <v>1105.83302144932</v>
      </c>
      <c r="U11" s="5" t="n">
        <f aca="false">AVERAGE(Q11, R11)</f>
        <v>0.648990639348669</v>
      </c>
      <c r="V11" s="4" t="n">
        <f aca="false">D11*E11*F11*G11*H11*I11*J11*K11*L11*M11*N11*O11*P11*1000</f>
        <v>124.375</v>
      </c>
      <c r="W11" s="2" t="n">
        <v>625</v>
      </c>
      <c r="X11" s="4" t="n">
        <f aca="false">V11*Q11*R11</f>
        <v>39.8088061540718</v>
      </c>
      <c r="Y11" s="3" t="n">
        <f aca="false">R11/Q11</f>
        <v>0.342302387121605</v>
      </c>
    </row>
    <row r="12" customFormat="false" ht="15" hidden="false" customHeight="true" outlineLevel="0" collapsed="false">
      <c r="A12" s="20" t="s">
        <v>33</v>
      </c>
      <c r="B12" s="26" t="n">
        <v>0.024172</v>
      </c>
      <c r="C12" s="1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0.5</v>
      </c>
      <c r="L12" s="4" t="n">
        <v>0.5</v>
      </c>
      <c r="M12" s="4" t="n">
        <v>0.5</v>
      </c>
      <c r="N12" s="4" t="n">
        <v>1</v>
      </c>
      <c r="O12" s="4" t="n">
        <v>1</v>
      </c>
      <c r="P12" s="4" t="n">
        <v>1</v>
      </c>
      <c r="Q12" s="3" t="n">
        <v>0.925919352234368</v>
      </c>
      <c r="R12" s="3" t="n">
        <v>0.424</v>
      </c>
      <c r="S12" s="2" t="n">
        <v>1111.470511</v>
      </c>
      <c r="T12" s="2" t="n">
        <f aca="false">Q12*S12</f>
        <v>1029.13205557272</v>
      </c>
      <c r="U12" s="5" t="n">
        <f aca="false">AVERAGE(Q12, R12)</f>
        <v>0.674959676117184</v>
      </c>
      <c r="V12" s="4" t="n">
        <f aca="false">D12*E12*F12*G12*H12*I12*J12*K12*L12*M12*N12*O12*P12*1000</f>
        <v>61.875</v>
      </c>
      <c r="X12" s="4" t="n">
        <f aca="false">V12*Q12*R12</f>
        <v>24.2914942058686</v>
      </c>
      <c r="Y12" s="3" t="n">
        <f aca="false">R12/Q12</f>
        <v>0.457923251065906</v>
      </c>
    </row>
    <row r="13" customFormat="false" ht="15" hidden="false" customHeight="true" outlineLevel="0" collapsed="false">
      <c r="A13" s="20" t="s">
        <v>34</v>
      </c>
      <c r="B13" s="26" t="n">
        <v>0.023905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0.713342583564223</v>
      </c>
      <c r="R13" s="3" t="n">
        <v>0.264</v>
      </c>
      <c r="S13" s="2" t="n">
        <v>1104.547427</v>
      </c>
      <c r="T13" s="2" t="n">
        <f aca="false">Q13*S13</f>
        <v>787.920715245395</v>
      </c>
      <c r="U13" s="5" t="n">
        <f aca="false">AVERAGE(Q13, R13)</f>
        <v>0.488671291782112</v>
      </c>
      <c r="V13" s="4" t="n">
        <f aca="false">D13*E13*F13*G13*H13*I13*J13*K13*L13*M13*N13*O13*P13*1000</f>
        <v>125</v>
      </c>
      <c r="W13" s="2" t="n">
        <v>478</v>
      </c>
      <c r="X13" s="4" t="n">
        <f aca="false">V13*Q13*R13</f>
        <v>23.5403052576194</v>
      </c>
      <c r="Y13" s="3" t="n">
        <f aca="false">R13/Q13</f>
        <v>0.370088658777276</v>
      </c>
    </row>
    <row r="14" customFormat="false" ht="15" hidden="false" customHeight="true" outlineLevel="0" collapsed="false">
      <c r="A14" s="20" t="s">
        <v>35</v>
      </c>
      <c r="B14" s="2" t="n">
        <v>0.024348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0.709544318943754</v>
      </c>
      <c r="R14" s="3" t="n">
        <v>0.276</v>
      </c>
      <c r="S14" s="2" t="n">
        <v>1216.231694</v>
      </c>
      <c r="T14" s="2" t="n">
        <f aca="false">Q14*S14</f>
        <v>862.970288997038</v>
      </c>
      <c r="U14" s="5" t="n">
        <f aca="false">AVERAGE(Q14, R14)</f>
        <v>0.492772159471877</v>
      </c>
      <c r="V14" s="4" t="n">
        <f aca="false">D14*E14*F14*G14*H14*I14*J14*K14*L14*M14*N14*O14*P14*1000</f>
        <v>125</v>
      </c>
      <c r="X14" s="4" t="n">
        <f aca="false">V14*Q14*R14</f>
        <v>24.4792790035595</v>
      </c>
      <c r="Y14" s="3" t="n">
        <f aca="false">R14/Q14</f>
        <v>0.388982044716898</v>
      </c>
    </row>
    <row r="15" customFormat="false" ht="15" hidden="false" customHeight="true" outlineLevel="0" collapsed="false">
      <c r="A15" s="20" t="s">
        <v>36</v>
      </c>
      <c r="B15" s="2" t="n">
        <v>0.024519</v>
      </c>
      <c r="C15" s="1" t="n">
        <v>0</v>
      </c>
      <c r="D15" s="3" t="n">
        <v>1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0.702099720287634</v>
      </c>
      <c r="R15" s="3" t="n">
        <v>0.262</v>
      </c>
      <c r="S15" s="2" t="n">
        <v>1163.038534</v>
      </c>
      <c r="T15" s="2" t="n">
        <f aca="false">Q15*S15</f>
        <v>816.56902940514</v>
      </c>
      <c r="U15" s="5" t="n">
        <f aca="false">AVERAGE(Q15, R15)</f>
        <v>0.482049860143817</v>
      </c>
      <c r="V15" s="4" t="n">
        <f aca="false">D15*E15*F15*G15*H15*I15*J15*K15*L15*M15*N15*O15*P15*1000</f>
        <v>125</v>
      </c>
      <c r="X15" s="4" t="n">
        <f aca="false">V15*Q15*R15</f>
        <v>22.99376583942</v>
      </c>
      <c r="Y15" s="3" t="n">
        <f aca="false">R15/Q15</f>
        <v>0.373166364306006</v>
      </c>
    </row>
    <row r="16" customFormat="false" ht="15" hidden="false" customHeight="true" outlineLevel="0" collapsed="false">
      <c r="A16" s="20" t="s">
        <v>37</v>
      </c>
      <c r="B16" s="26" t="n">
        <v>0.024989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1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0.70207145939016</v>
      </c>
      <c r="R16" s="3" t="n">
        <v>0.274</v>
      </c>
      <c r="S16" s="2" t="n">
        <v>1188.985</v>
      </c>
      <c r="T16" s="2" t="n">
        <f aca="false">Q16*S16</f>
        <v>834.752434143009</v>
      </c>
      <c r="U16" s="5" t="n">
        <f aca="false">AVERAGE(Q16, R16)</f>
        <v>0.48803572969508</v>
      </c>
      <c r="V16" s="4" t="n">
        <f aca="false">D16*E16*F16*G16*H16*I16*J16*K16*L16*M16*N16*O16*P16*1000</f>
        <v>124.375</v>
      </c>
      <c r="X16" s="4" t="n">
        <f aca="false">V16*Q16*R16</f>
        <v>23.9257177466924</v>
      </c>
      <c r="Y16" s="3" t="n">
        <f aca="false">R16/Q16</f>
        <v>0.390273662794959</v>
      </c>
    </row>
    <row r="17" customFormat="false" ht="15" hidden="false" customHeight="true" outlineLevel="0" collapsed="false">
      <c r="A17" s="27" t="s">
        <v>38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39</v>
      </c>
      <c r="B18" s="23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4" t="s">
        <v>40</v>
      </c>
      <c r="B19" s="2" t="n">
        <v>0.018995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0.5</v>
      </c>
      <c r="L19" s="4" t="n">
        <v>1</v>
      </c>
      <c r="M19" s="4" t="n">
        <v>0.5</v>
      </c>
      <c r="N19" s="4" t="n">
        <v>0.5</v>
      </c>
      <c r="O19" s="4" t="n">
        <v>0</v>
      </c>
      <c r="P19" s="4" t="n">
        <v>0</v>
      </c>
      <c r="Q19" s="3" t="n">
        <v>0.211354517282616</v>
      </c>
      <c r="R19" s="3" t="n">
        <v>0.15</v>
      </c>
      <c r="S19" s="2" t="n">
        <v>998.411</v>
      </c>
      <c r="T19" s="2" t="n">
        <f aca="false">Q19*S19</f>
        <v>211.018674954654</v>
      </c>
      <c r="U19" s="5" t="n">
        <f aca="false">AVERAGE(Q19, R19)</f>
        <v>0.180677258641308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0.709708039026321</v>
      </c>
    </row>
    <row r="20" customFormat="false" ht="15" hidden="false" customHeight="true" outlineLevel="0" collapsed="false">
      <c r="A20" s="24" t="s">
        <v>41</v>
      </c>
      <c r="B20" s="2" t="n">
        <v>0.018061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</v>
      </c>
      <c r="L20" s="4" t="n">
        <v>0.5</v>
      </c>
      <c r="M20" s="4" t="n">
        <v>0</v>
      </c>
      <c r="N20" s="4" t="n">
        <v>0</v>
      </c>
      <c r="O20" s="4" t="n">
        <v>0</v>
      </c>
      <c r="P20" s="4" t="n">
        <v>0</v>
      </c>
      <c r="Q20" s="3" t="n">
        <v>0.0866669481949934</v>
      </c>
      <c r="R20" s="3" t="n">
        <v>0.179</v>
      </c>
      <c r="S20" s="2" t="n">
        <v>983.426</v>
      </c>
      <c r="T20" s="2" t="n">
        <f aca="false">Q20*S20</f>
        <v>85.2305301956096</v>
      </c>
      <c r="U20" s="5" t="n">
        <f aca="false">AVERAGE(Q20, R20)</f>
        <v>0.132833474097497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2.06537790620324</v>
      </c>
    </row>
    <row r="1048511" customFormat="false" ht="13.8" hidden="false" customHeight="false" outlineLevel="0" collapsed="false"/>
    <row r="1048512" customFormat="false" ht="13.8" hidden="false" customHeight="false" outlineLevel="0" collapsed="false"/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0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4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1:Q1048576 T5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4 V6:V1048576 U5:V5">
    <cfRule type="cellIs" priority="11" operator="greaterThan" aboveAverage="0" equalAverage="0" bottom="0" percent="0" rank="0" text="" dxfId="17">
      <formula>0</formula>
    </cfRule>
  </conditionalFormatting>
  <conditionalFormatting sqref="R1:R1048576 V5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21" activeCellId="0" sqref="A2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0.5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0.462</v>
      </c>
      <c r="S1" s="8" t="n">
        <f aca="false">MAX(S3:S4)</f>
        <v>1165.903224</v>
      </c>
      <c r="T1" s="8" t="n">
        <f aca="false">MAX(T3:T4)</f>
        <v>1139.10792300697</v>
      </c>
      <c r="U1" s="8" t="n">
        <f aca="false">MAX(U3:U4)</f>
        <v>0.719508779956412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112.281300529082</v>
      </c>
      <c r="Y1" s="8" t="n">
        <f aca="false">MAX(Y3:Y4)</f>
        <v>0.472867652492574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0" t="s">
        <v>27</v>
      </c>
      <c r="B3" s="23" t="n">
        <v>4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2" t="s">
        <v>42</v>
      </c>
      <c r="B4" s="2" t="n">
        <v>0.023849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0.977017559912824</v>
      </c>
      <c r="R4" s="3" t="n">
        <v>0.462</v>
      </c>
      <c r="S4" s="2" t="n">
        <v>1165.903224</v>
      </c>
      <c r="T4" s="2" t="n">
        <f aca="false">Q4*S4</f>
        <v>1139.10792300697</v>
      </c>
      <c r="U4" s="5" t="n">
        <f aca="false">AVERAGE(Q4, R4)</f>
        <v>0.719508779956412</v>
      </c>
      <c r="V4" s="4" t="n">
        <f aca="false">D4*E4*F4*G4*H4*I4*J4*K4*L4*M4*N4*O4*P4*1000</f>
        <v>248.75</v>
      </c>
      <c r="W4" s="2" t="n">
        <v>516</v>
      </c>
      <c r="X4" s="4" t="n">
        <f aca="false">V4*Q4*R4</f>
        <v>112.281300529082</v>
      </c>
      <c r="Y4" s="3" t="n">
        <f aca="false">R4/Q4</f>
        <v>0.472867652492574</v>
      </c>
    </row>
    <row r="5" customFormat="false" ht="15" hidden="false" customHeight="true" outlineLevel="0" collapsed="false">
      <c r="A5" s="25" t="s">
        <v>28</v>
      </c>
      <c r="B5" s="26" t="n">
        <v>3</v>
      </c>
      <c r="C5" s="24" t="n">
        <v>1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0.5</v>
      </c>
      <c r="I5" s="4" t="n">
        <v>1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0.9731534587056</v>
      </c>
      <c r="R5" s="3" t="n">
        <v>0.492</v>
      </c>
      <c r="S5" s="2" t="n">
        <v>1215.512154</v>
      </c>
      <c r="T5" s="2" t="n">
        <f aca="false">Q5*S5</f>
        <v>1182.87985676379</v>
      </c>
      <c r="U5" s="5" t="n">
        <f aca="false">AVERAGE(Q5, R5)</f>
        <v>0.7325767293528</v>
      </c>
      <c r="V5" s="4" t="n">
        <f aca="false">D5*E5*F5*G5*H5*I5*J5*K5*L5*M5*N5*O5*P5*1000</f>
        <v>248.75</v>
      </c>
      <c r="W5" s="2" t="n">
        <v>576</v>
      </c>
      <c r="X5" s="4" t="n">
        <f aca="false">V5*Q5*R5</f>
        <v>119.099386043685</v>
      </c>
      <c r="Y5" s="3" t="n">
        <f aca="false">R5/Q5</f>
        <v>0.505572883288535</v>
      </c>
    </row>
    <row r="6" customFormat="false" ht="15" hidden="false" customHeight="true" outlineLevel="0" collapsed="false">
      <c r="A6" s="29" t="s">
        <v>44</v>
      </c>
      <c r="B6" s="23" t="n">
        <v>2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0.46</v>
      </c>
      <c r="S6" s="2" t="n">
        <v>1226.70497</v>
      </c>
      <c r="T6" s="2" t="n">
        <f aca="false">Q6*S6</f>
        <v>1191.08889793264</v>
      </c>
      <c r="U6" s="5" t="n">
        <f aca="false">AVERAGE(Q6, R6)</f>
        <v>0.715483032620567</v>
      </c>
      <c r="V6" s="4" t="n">
        <f aca="false">D6*E6*F6*G6*H6*I6*J6*K6*L6*M6*N6*O6*P6*1000</f>
        <v>250</v>
      </c>
      <c r="X6" s="4" t="n">
        <f aca="false">V6*Q6*R6</f>
        <v>111.66109750273</v>
      </c>
      <c r="Y6" s="3" t="n">
        <f aca="false">R6/Q6</f>
        <v>0.473754970917302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30</v>
      </c>
      <c r="B8" s="26" t="n">
        <v>5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2" t="s">
        <v>31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3.8" hidden="false" customHeight="false" outlineLevel="0" collapsed="false">
      <c r="A10" s="20" t="s">
        <v>43</v>
      </c>
      <c r="B10" s="2" t="n">
        <v>0.026486</v>
      </c>
      <c r="C10" s="1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0.459</v>
      </c>
      <c r="S10" s="2" t="n">
        <v>1195.016817</v>
      </c>
      <c r="T10" s="2" t="n">
        <f aca="false">Q10*S10</f>
        <v>1160.25323220398</v>
      </c>
      <c r="U10" s="5" t="n">
        <f aca="false">AVERAGE(Q10, R10)</f>
        <v>0.714954771723093</v>
      </c>
      <c r="V10" s="4" t="n">
        <f aca="false">D10*E10*F10*G10*H10*I10*J10*K10*L10*M10*N10*O10*P10*1000</f>
        <v>247.5</v>
      </c>
      <c r="X10" s="4" t="n">
        <f aca="false">V10*Q10*R10</f>
        <v>110.297751409345</v>
      </c>
      <c r="Y10" s="3" t="n">
        <f aca="false">R10/Q10</f>
        <v>0.472752588640552</v>
      </c>
    </row>
    <row r="11" customFormat="false" ht="15" hidden="false" customHeight="true" outlineLevel="0" collapsed="false">
      <c r="A11" s="20" t="s">
        <v>32</v>
      </c>
      <c r="B11" s="26" t="n">
        <v>3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0.966981278697337</v>
      </c>
      <c r="R11" s="3" t="n">
        <v>0.331</v>
      </c>
      <c r="S11" s="2" t="n">
        <v>1143.593</v>
      </c>
      <c r="T11" s="2" t="n">
        <f aca="false">Q11*S11</f>
        <v>1105.83302144932</v>
      </c>
      <c r="U11" s="5" t="n">
        <f aca="false">AVERAGE(Q11, R11)</f>
        <v>0.648990639348669</v>
      </c>
      <c r="V11" s="4" t="n">
        <f aca="false">D11*E11*F11*G11*H11*I11*J11*K11*L11*M11*N11*O11*P11*1000</f>
        <v>124.375</v>
      </c>
      <c r="W11" s="2" t="n">
        <v>625</v>
      </c>
      <c r="X11" s="4" t="n">
        <f aca="false">V11*Q11*R11</f>
        <v>39.8088061540718</v>
      </c>
      <c r="Y11" s="3" t="n">
        <f aca="false">R11/Q11</f>
        <v>0.342302387121605</v>
      </c>
    </row>
    <row r="12" customFormat="false" ht="15" hidden="false" customHeight="true" outlineLevel="0" collapsed="false">
      <c r="A12" s="20" t="s">
        <v>33</v>
      </c>
      <c r="B12" s="26" t="n">
        <v>0.024172</v>
      </c>
      <c r="C12" s="1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0.5</v>
      </c>
      <c r="L12" s="4" t="n">
        <v>0.5</v>
      </c>
      <c r="M12" s="4" t="n">
        <v>0.5</v>
      </c>
      <c r="N12" s="4" t="n">
        <v>1</v>
      </c>
      <c r="O12" s="4" t="n">
        <v>1</v>
      </c>
      <c r="P12" s="4" t="n">
        <v>1</v>
      </c>
      <c r="Q12" s="3" t="n">
        <v>0.925919352234368</v>
      </c>
      <c r="R12" s="3" t="n">
        <v>0.424</v>
      </c>
      <c r="S12" s="2" t="n">
        <v>1111.470511</v>
      </c>
      <c r="T12" s="2" t="n">
        <f aca="false">Q12*S12</f>
        <v>1029.13205557272</v>
      </c>
      <c r="U12" s="5" t="n">
        <f aca="false">AVERAGE(Q12, R12)</f>
        <v>0.674959676117184</v>
      </c>
      <c r="V12" s="4" t="n">
        <f aca="false">D12*E12*F12*G12*H12*I12*J12*K12*L12*M12*N12*O12*P12*1000</f>
        <v>61.875</v>
      </c>
      <c r="X12" s="4" t="n">
        <f aca="false">V12*Q12*R12</f>
        <v>24.2914942058686</v>
      </c>
      <c r="Y12" s="3" t="n">
        <f aca="false">R12/Q12</f>
        <v>0.457923251065906</v>
      </c>
    </row>
    <row r="13" customFormat="false" ht="15" hidden="false" customHeight="true" outlineLevel="0" collapsed="false">
      <c r="A13" s="20" t="s">
        <v>34</v>
      </c>
      <c r="B13" s="26" t="n">
        <v>0.023905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0.713342583564223</v>
      </c>
      <c r="R13" s="3" t="n">
        <v>0.264</v>
      </c>
      <c r="S13" s="2" t="n">
        <v>1104.547427</v>
      </c>
      <c r="T13" s="2" t="n">
        <f aca="false">Q13*S13</f>
        <v>787.920715245395</v>
      </c>
      <c r="U13" s="5" t="n">
        <f aca="false">AVERAGE(Q13, R13)</f>
        <v>0.488671291782112</v>
      </c>
      <c r="V13" s="4" t="n">
        <f aca="false">D13*E13*F13*G13*H13*I13*J13*K13*L13*M13*N13*O13*P13*1000</f>
        <v>125</v>
      </c>
      <c r="W13" s="2" t="n">
        <v>478</v>
      </c>
      <c r="X13" s="4" t="n">
        <f aca="false">V13*Q13*R13</f>
        <v>23.5403052576194</v>
      </c>
      <c r="Y13" s="3" t="n">
        <f aca="false">R13/Q13</f>
        <v>0.370088658777276</v>
      </c>
    </row>
    <row r="14" customFormat="false" ht="15" hidden="false" customHeight="true" outlineLevel="0" collapsed="false">
      <c r="A14" s="20" t="s">
        <v>35</v>
      </c>
      <c r="B14" s="2" t="n">
        <v>0.024348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0.709544318943754</v>
      </c>
      <c r="R14" s="3" t="n">
        <v>0.276</v>
      </c>
      <c r="S14" s="2" t="n">
        <v>1216.231694</v>
      </c>
      <c r="T14" s="2" t="n">
        <f aca="false">Q14*S14</f>
        <v>862.970288997038</v>
      </c>
      <c r="U14" s="5" t="n">
        <f aca="false">AVERAGE(Q14, R14)</f>
        <v>0.492772159471877</v>
      </c>
      <c r="V14" s="4" t="n">
        <f aca="false">D14*E14*F14*G14*H14*I14*J14*K14*L14*M14*N14*O14*P14*1000</f>
        <v>125</v>
      </c>
      <c r="X14" s="4" t="n">
        <f aca="false">V14*Q14*R14</f>
        <v>24.4792790035595</v>
      </c>
      <c r="Y14" s="3" t="n">
        <f aca="false">R14/Q14</f>
        <v>0.388982044716898</v>
      </c>
    </row>
    <row r="15" customFormat="false" ht="15" hidden="false" customHeight="true" outlineLevel="0" collapsed="false">
      <c r="A15" s="27" t="s">
        <v>37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30" t="s">
        <v>45</v>
      </c>
      <c r="B16" s="23" t="n">
        <v>1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0.26</v>
      </c>
      <c r="S16" s="2" t="n">
        <v>1149.585506</v>
      </c>
      <c r="T16" s="2" t="n">
        <f aca="false">Q16*S16</f>
        <v>800.723463539215</v>
      </c>
      <c r="U16" s="5" t="n">
        <f aca="false">AVERAGE(Q16, R16)</f>
        <v>0.478266161742655</v>
      </c>
      <c r="V16" s="4" t="n">
        <f aca="false">D16*E16*F16*G16*H16*I16*J16*K16*L16*M16*N16*O16*P16*1000</f>
        <v>62.1875</v>
      </c>
      <c r="X16" s="4" t="n">
        <f aca="false">V16*Q16*R16</f>
        <v>11.2620570053531</v>
      </c>
      <c r="Y16" s="3" t="n">
        <f aca="false">R16/Q16</f>
        <v>0.37327772342138</v>
      </c>
    </row>
    <row r="17" customFormat="false" ht="15" hidden="false" customHeight="true" outlineLevel="0" collapsed="false">
      <c r="A17" s="27" t="s">
        <v>38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39</v>
      </c>
      <c r="B18" s="23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4" t="s">
        <v>40</v>
      </c>
      <c r="B19" s="2" t="n">
        <v>0.018995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0.5</v>
      </c>
      <c r="L19" s="4" t="n">
        <v>1</v>
      </c>
      <c r="M19" s="4" t="n">
        <v>0.5</v>
      </c>
      <c r="N19" s="4" t="n">
        <v>0.5</v>
      </c>
      <c r="O19" s="4" t="n">
        <v>0</v>
      </c>
      <c r="P19" s="4" t="n">
        <v>0</v>
      </c>
      <c r="Q19" s="3" t="n">
        <v>0.211354517282616</v>
      </c>
      <c r="R19" s="3" t="n">
        <v>0.15</v>
      </c>
      <c r="S19" s="2" t="n">
        <v>998.411</v>
      </c>
      <c r="T19" s="2" t="n">
        <f aca="false">Q19*S19</f>
        <v>211.018674954654</v>
      </c>
      <c r="U19" s="5" t="n">
        <f aca="false">AVERAGE(Q19, R19)</f>
        <v>0.180677258641308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0.709708039026321</v>
      </c>
    </row>
    <row r="20" customFormat="false" ht="15" hidden="false" customHeight="true" outlineLevel="0" collapsed="false">
      <c r="A20" s="24" t="s">
        <v>41</v>
      </c>
      <c r="B20" s="2" t="n">
        <v>0.018061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</v>
      </c>
      <c r="L20" s="4" t="n">
        <v>0.5</v>
      </c>
      <c r="M20" s="4" t="n">
        <v>0</v>
      </c>
      <c r="N20" s="4" t="n">
        <v>0</v>
      </c>
      <c r="O20" s="4" t="n">
        <v>0</v>
      </c>
      <c r="P20" s="4" t="n">
        <v>0</v>
      </c>
      <c r="Q20" s="3" t="n">
        <v>0.0866669481949934</v>
      </c>
      <c r="R20" s="3" t="n">
        <v>0.179</v>
      </c>
      <c r="S20" s="2" t="n">
        <v>983.426</v>
      </c>
      <c r="T20" s="2" t="n">
        <f aca="false">Q20*S20</f>
        <v>85.2305301956096</v>
      </c>
      <c r="U20" s="5" t="n">
        <f aca="false">AVERAGE(Q20, R20)</f>
        <v>0.132833474097497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2.06537790620324</v>
      </c>
    </row>
    <row r="21" customFormat="false" ht="15" hidden="false" customHeight="true" outlineLevel="0" collapsed="false">
      <c r="A21" s="22" t="s">
        <v>36</v>
      </c>
      <c r="B21" s="2" t="n">
        <v>0.024519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1</v>
      </c>
      <c r="J21" s="4" t="n">
        <v>1</v>
      </c>
      <c r="K21" s="4" t="n">
        <v>0.5</v>
      </c>
      <c r="L21" s="4" t="n">
        <v>1</v>
      </c>
      <c r="M21" s="4" t="n">
        <v>1</v>
      </c>
      <c r="N21" s="4" t="n">
        <v>0.5</v>
      </c>
      <c r="O21" s="4" t="n">
        <v>1</v>
      </c>
      <c r="P21" s="4" t="n">
        <v>0.5</v>
      </c>
      <c r="Q21" s="3" t="n">
        <v>0.702099720287634</v>
      </c>
      <c r="R21" s="3" t="n">
        <v>0.262</v>
      </c>
      <c r="S21" s="2" t="n">
        <v>1163.038534</v>
      </c>
      <c r="T21" s="2" t="n">
        <f aca="false">Q21*S21</f>
        <v>816.56902940514</v>
      </c>
      <c r="U21" s="5" t="n">
        <f aca="false">AVERAGE(Q21, R21)</f>
        <v>0.482049860143817</v>
      </c>
      <c r="V21" s="4" t="n">
        <f aca="false">D21*E21*F21*G21*H21*I21*J21*K21*L21*M21*N21*O21*P21*1000</f>
        <v>125</v>
      </c>
      <c r="X21" s="4" t="n">
        <f aca="false">V21*Q21*R21</f>
        <v>22.99376583942</v>
      </c>
      <c r="Y21" s="3" t="n">
        <f aca="false">R21/Q21</f>
        <v>0.373166364306006</v>
      </c>
    </row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0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5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1:Q1048576 T5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4 V6:V1048576 U5:V5">
    <cfRule type="cellIs" priority="11" operator="greaterThan" aboveAverage="0" equalAverage="0" bottom="0" percent="0" rank="0" text="" dxfId="17">
      <formula>0</formula>
    </cfRule>
  </conditionalFormatting>
  <conditionalFormatting sqref="R1:R1048576 V5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0" activeCellId="0" sqref="A10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0.5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0.462</v>
      </c>
      <c r="S1" s="8" t="n">
        <f aca="false">MAX(S3:S4)</f>
        <v>1165.903224</v>
      </c>
      <c r="T1" s="8" t="n">
        <f aca="false">MAX(T3:T4)</f>
        <v>1139.10792300697</v>
      </c>
      <c r="U1" s="8" t="n">
        <f aca="false">MAX(U3:U4)</f>
        <v>0.719508779956412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112.281300529082</v>
      </c>
      <c r="Y1" s="8" t="n">
        <f aca="false">MAX(Y3:Y4)</f>
        <v>0.472867652492574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0" t="s">
        <v>27</v>
      </c>
      <c r="B3" s="23" t="n">
        <v>4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2" t="s">
        <v>42</v>
      </c>
      <c r="B4" s="2" t="n">
        <v>0.023849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0.977017559912824</v>
      </c>
      <c r="R4" s="3" t="n">
        <v>0.462</v>
      </c>
      <c r="S4" s="2" t="n">
        <v>1165.903224</v>
      </c>
      <c r="T4" s="2" t="n">
        <f aca="false">Q4*S4</f>
        <v>1139.10792300697</v>
      </c>
      <c r="U4" s="5" t="n">
        <f aca="false">AVERAGE(Q4, R4)</f>
        <v>0.719508779956412</v>
      </c>
      <c r="V4" s="4" t="n">
        <f aca="false">D4*E4*F4*G4*H4*I4*J4*K4*L4*M4*N4*O4*P4*1000</f>
        <v>248.75</v>
      </c>
      <c r="X4" s="4" t="n">
        <f aca="false">V4*Q4*R4</f>
        <v>112.281300529082</v>
      </c>
      <c r="Y4" s="3" t="n">
        <f aca="false">R4/Q4</f>
        <v>0.472867652492574</v>
      </c>
    </row>
    <row r="5" customFormat="false" ht="15" hidden="false" customHeight="true" outlineLevel="0" collapsed="false">
      <c r="A5" s="25" t="s">
        <v>28</v>
      </c>
      <c r="B5" s="26" t="n">
        <v>3</v>
      </c>
      <c r="C5" s="24" t="n">
        <v>1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0.5</v>
      </c>
      <c r="I5" s="4" t="n">
        <v>1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0.9731534587056</v>
      </c>
      <c r="R5" s="3" t="n">
        <v>0.492</v>
      </c>
      <c r="S5" s="2" t="n">
        <v>1215.512154</v>
      </c>
      <c r="T5" s="2" t="n">
        <f aca="false">Q5*S5</f>
        <v>1182.87985676379</v>
      </c>
      <c r="U5" s="5" t="n">
        <f aca="false">AVERAGE(Q5, R5)</f>
        <v>0.7325767293528</v>
      </c>
      <c r="V5" s="4" t="n">
        <f aca="false">D5*E5*F5*G5*H5*I5*J5*K5*L5*M5*N5*O5*P5*1000</f>
        <v>248.75</v>
      </c>
      <c r="W5" s="2" t="n">
        <v>576</v>
      </c>
      <c r="X5" s="4" t="n">
        <f aca="false">V5*Q5*R5</f>
        <v>119.099386043685</v>
      </c>
      <c r="Y5" s="3" t="n">
        <f aca="false">R5/Q5</f>
        <v>0.505572883288535</v>
      </c>
    </row>
    <row r="6" customFormat="false" ht="15" hidden="false" customHeight="true" outlineLevel="0" collapsed="false">
      <c r="A6" s="20" t="s">
        <v>44</v>
      </c>
      <c r="B6" s="23" t="n">
        <v>1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0.46</v>
      </c>
      <c r="S6" s="2" t="n">
        <v>1226.70497</v>
      </c>
      <c r="T6" s="2" t="n">
        <f aca="false">Q6*S6</f>
        <v>1191.08889793264</v>
      </c>
      <c r="U6" s="5" t="n">
        <f aca="false">AVERAGE(Q6, R6)</f>
        <v>0.715483032620567</v>
      </c>
      <c r="V6" s="4" t="n">
        <f aca="false">D6*E6*F6*G6*H6*I6*J6*K6*L6*M6*N6*O6*P6*1000</f>
        <v>250</v>
      </c>
      <c r="X6" s="4" t="n">
        <f aca="false">V6*Q6*R6</f>
        <v>111.66109750273</v>
      </c>
      <c r="Y6" s="3" t="n">
        <f aca="false">R6/Q6</f>
        <v>0.473754970917302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30</v>
      </c>
      <c r="B8" s="26" t="n">
        <v>5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2" t="s">
        <v>31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9" t="s">
        <v>46</v>
      </c>
      <c r="B10" s="26" t="n">
        <v>0.023297</v>
      </c>
      <c r="C10" s="24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0.455</v>
      </c>
      <c r="S10" s="2" t="n">
        <v>1216.735306</v>
      </c>
      <c r="T10" s="2" t="n">
        <f aca="false">Q10*S10</f>
        <v>1181.33992044331</v>
      </c>
      <c r="U10" s="5" t="n">
        <f aca="false">AVERAGE(Q10, R10)</f>
        <v>0.712954771723093</v>
      </c>
      <c r="V10" s="4" t="n">
        <f aca="false">D10*E10*F10*G10*H10*I10*J10*K10*L10*M10*N10*O10*P10*1000</f>
        <v>247.5</v>
      </c>
      <c r="X10" s="4" t="n">
        <f aca="false">V10*Q10*R10</f>
        <v>109.336550961334</v>
      </c>
      <c r="Y10" s="3" t="n">
        <f aca="false">R10/Q10</f>
        <v>0.468632740373532</v>
      </c>
    </row>
    <row r="11" customFormat="false" ht="13.8" hidden="false" customHeight="false" outlineLevel="0" collapsed="false">
      <c r="A11" s="20" t="s">
        <v>32</v>
      </c>
      <c r="B11" s="26" t="n">
        <v>3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0.966981278697337</v>
      </c>
      <c r="R11" s="3" t="n">
        <v>0.331</v>
      </c>
      <c r="S11" s="2" t="n">
        <v>1143.593</v>
      </c>
      <c r="T11" s="2" t="n">
        <f aca="false">Q11*S11</f>
        <v>1105.83302144932</v>
      </c>
      <c r="U11" s="5" t="n">
        <f aca="false">AVERAGE(Q11, R11)</f>
        <v>0.648990639348669</v>
      </c>
      <c r="V11" s="4" t="n">
        <f aca="false">D11*E11*F11*G11*H11*I11*J11*K11*L11*M11*N11*O11*P11*1000</f>
        <v>124.375</v>
      </c>
      <c r="W11" s="2" t="n">
        <v>625</v>
      </c>
      <c r="X11" s="4" t="n">
        <f aca="false">V11*Q11*R11</f>
        <v>39.8088061540718</v>
      </c>
      <c r="Y11" s="3" t="n">
        <f aca="false">R11/Q11</f>
        <v>0.342302387121605</v>
      </c>
    </row>
    <row r="12" customFormat="false" ht="15" hidden="false" customHeight="true" outlineLevel="0" collapsed="false">
      <c r="A12" s="20" t="s">
        <v>33</v>
      </c>
      <c r="B12" s="26" t="n">
        <v>0.024172</v>
      </c>
      <c r="C12" s="1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0.5</v>
      </c>
      <c r="L12" s="4" t="n">
        <v>0.5</v>
      </c>
      <c r="M12" s="4" t="n">
        <v>0.5</v>
      </c>
      <c r="N12" s="4" t="n">
        <v>1</v>
      </c>
      <c r="O12" s="4" t="n">
        <v>1</v>
      </c>
      <c r="P12" s="4" t="n">
        <v>1</v>
      </c>
      <c r="Q12" s="3" t="n">
        <v>0.925919352234368</v>
      </c>
      <c r="R12" s="3" t="n">
        <v>0.424</v>
      </c>
      <c r="S12" s="2" t="n">
        <v>1111.470511</v>
      </c>
      <c r="T12" s="2" t="n">
        <f aca="false">Q12*S12</f>
        <v>1029.13205557272</v>
      </c>
      <c r="U12" s="5" t="n">
        <f aca="false">AVERAGE(Q12, R12)</f>
        <v>0.674959676117184</v>
      </c>
      <c r="V12" s="4" t="n">
        <f aca="false">D12*E12*F12*G12*H12*I12*J12*K12*L12*M12*N12*O12*P12*1000</f>
        <v>61.875</v>
      </c>
      <c r="X12" s="4" t="n">
        <f aca="false">V12*Q12*R12</f>
        <v>24.2914942058686</v>
      </c>
      <c r="Y12" s="3" t="n">
        <f aca="false">R12/Q12</f>
        <v>0.457923251065906</v>
      </c>
    </row>
    <row r="13" customFormat="false" ht="15" hidden="false" customHeight="true" outlineLevel="0" collapsed="false">
      <c r="A13" s="20" t="s">
        <v>34</v>
      </c>
      <c r="B13" s="26" t="n">
        <v>0.023905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0.713342583564223</v>
      </c>
      <c r="R13" s="3" t="n">
        <v>0.264</v>
      </c>
      <c r="S13" s="2" t="n">
        <v>1104.547427</v>
      </c>
      <c r="T13" s="2" t="n">
        <f aca="false">Q13*S13</f>
        <v>787.920715245395</v>
      </c>
      <c r="U13" s="5" t="n">
        <f aca="false">AVERAGE(Q13, R13)</f>
        <v>0.488671291782112</v>
      </c>
      <c r="V13" s="4" t="n">
        <f aca="false">D13*E13*F13*G13*H13*I13*J13*K13*L13*M13*N13*O13*P13*1000</f>
        <v>125</v>
      </c>
      <c r="W13" s="2" t="n">
        <v>478</v>
      </c>
      <c r="X13" s="4" t="n">
        <f aca="false">V13*Q13*R13</f>
        <v>23.5403052576194</v>
      </c>
      <c r="Y13" s="3" t="n">
        <f aca="false">R13/Q13</f>
        <v>0.370088658777276</v>
      </c>
    </row>
    <row r="14" customFormat="false" ht="15" hidden="false" customHeight="true" outlineLevel="0" collapsed="false">
      <c r="A14" s="20" t="s">
        <v>35</v>
      </c>
      <c r="B14" s="2" t="n">
        <v>0.024348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0.709544318943754</v>
      </c>
      <c r="R14" s="3" t="n">
        <v>0.276</v>
      </c>
      <c r="S14" s="2" t="n">
        <v>1216.231694</v>
      </c>
      <c r="T14" s="2" t="n">
        <f aca="false">Q14*S14</f>
        <v>862.970288997038</v>
      </c>
      <c r="U14" s="5" t="n">
        <f aca="false">AVERAGE(Q14, R14)</f>
        <v>0.492772159471877</v>
      </c>
      <c r="V14" s="4" t="n">
        <f aca="false">D14*E14*F14*G14*H14*I14*J14*K14*L14*M14*N14*O14*P14*1000</f>
        <v>125</v>
      </c>
      <c r="X14" s="4" t="n">
        <f aca="false">V14*Q14*R14</f>
        <v>24.4792790035595</v>
      </c>
      <c r="Y14" s="3" t="n">
        <f aca="false">R14/Q14</f>
        <v>0.388982044716898</v>
      </c>
    </row>
    <row r="15" customFormat="false" ht="15" hidden="false" customHeight="true" outlineLevel="0" collapsed="false">
      <c r="A15" s="27" t="s">
        <v>37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30" t="s">
        <v>45</v>
      </c>
      <c r="B16" s="26" t="n">
        <v>0.027205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0.26</v>
      </c>
      <c r="S16" s="2" t="n">
        <v>1149.585506</v>
      </c>
      <c r="T16" s="2" t="n">
        <f aca="false">Q16*S16</f>
        <v>800.723463539215</v>
      </c>
      <c r="U16" s="5" t="n">
        <f aca="false">AVERAGE(Q16, R16)</f>
        <v>0.478266161742655</v>
      </c>
      <c r="V16" s="4" t="n">
        <f aca="false">D16*E16*F16*G16*H16*I16*J16*K16*L16*M16*N16*O16*P16*1000</f>
        <v>62.1875</v>
      </c>
      <c r="X16" s="4" t="n">
        <f aca="false">V16*Q16*R16</f>
        <v>11.2620570053531</v>
      </c>
      <c r="Y16" s="3" t="n">
        <f aca="false">R16/Q16</f>
        <v>0.37327772342138</v>
      </c>
    </row>
    <row r="17" customFormat="false" ht="15" hidden="false" customHeight="true" outlineLevel="0" collapsed="false">
      <c r="A17" s="27" t="s">
        <v>38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39</v>
      </c>
      <c r="B18" s="23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4" t="s">
        <v>40</v>
      </c>
      <c r="B19" s="2" t="n">
        <v>0.018995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0.5</v>
      </c>
      <c r="L19" s="4" t="n">
        <v>1</v>
      </c>
      <c r="M19" s="4" t="n">
        <v>0.5</v>
      </c>
      <c r="N19" s="4" t="n">
        <v>0.5</v>
      </c>
      <c r="O19" s="4" t="n">
        <v>0</v>
      </c>
      <c r="P19" s="4" t="n">
        <v>0</v>
      </c>
      <c r="Q19" s="3" t="n">
        <v>0.211354517282616</v>
      </c>
      <c r="R19" s="3" t="n">
        <v>0.15</v>
      </c>
      <c r="S19" s="2" t="n">
        <v>998.411</v>
      </c>
      <c r="T19" s="2" t="n">
        <f aca="false">Q19*S19</f>
        <v>211.018674954654</v>
      </c>
      <c r="U19" s="5" t="n">
        <f aca="false">AVERAGE(Q19, R19)</f>
        <v>0.180677258641308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0.709708039026321</v>
      </c>
    </row>
    <row r="20" customFormat="false" ht="15" hidden="false" customHeight="true" outlineLevel="0" collapsed="false">
      <c r="A20" s="24" t="s">
        <v>41</v>
      </c>
      <c r="B20" s="2" t="n">
        <v>0.018061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</v>
      </c>
      <c r="L20" s="4" t="n">
        <v>0.5</v>
      </c>
      <c r="M20" s="4" t="n">
        <v>0</v>
      </c>
      <c r="N20" s="4" t="n">
        <v>0</v>
      </c>
      <c r="O20" s="4" t="n">
        <v>0</v>
      </c>
      <c r="P20" s="4" t="n">
        <v>0</v>
      </c>
      <c r="Q20" s="3" t="n">
        <v>0.0866669481949934</v>
      </c>
      <c r="R20" s="3" t="n">
        <v>0.179</v>
      </c>
      <c r="S20" s="2" t="n">
        <v>983.426</v>
      </c>
      <c r="T20" s="2" t="n">
        <f aca="false">Q20*S20</f>
        <v>85.2305301956096</v>
      </c>
      <c r="U20" s="5" t="n">
        <f aca="false">AVERAGE(Q20, R20)</f>
        <v>0.132833474097497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2.06537790620324</v>
      </c>
    </row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2.8" hidden="false" customHeight="false" outlineLevel="0" collapsed="false"/>
  </sheetData>
  <autoFilter ref="A2:Y20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6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1:Q1048576 T5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4 V6:V1048576 U5:V5">
    <cfRule type="cellIs" priority="11" operator="greaterThan" aboveAverage="0" equalAverage="0" bottom="0" percent="0" rank="0" text="" dxfId="17">
      <formula>0</formula>
    </cfRule>
  </conditionalFormatting>
  <conditionalFormatting sqref="R1:R1048576 V5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25" activeCellId="0" sqref="A25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27</v>
      </c>
      <c r="B3" s="26" t="n">
        <v>3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4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44</v>
      </c>
      <c r="B5" s="26" t="n">
        <v>0.024198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0.46</v>
      </c>
      <c r="S5" s="2" t="n">
        <v>1226.70497</v>
      </c>
      <c r="T5" s="2" t="n">
        <f aca="false">Q5*S5</f>
        <v>1191.08889793264</v>
      </c>
      <c r="U5" s="5" t="n">
        <f aca="false">AVERAGE(Q5, R5)</f>
        <v>0.715483032620567</v>
      </c>
      <c r="V5" s="4" t="n">
        <f aca="false">D5*E5*F5*G5*H5*I5*J5*K5*L5*M5*N5*O5*P5*1000</f>
        <v>250</v>
      </c>
      <c r="X5" s="4" t="n">
        <f aca="false">V5*Q5*R5</f>
        <v>111.66109750273</v>
      </c>
      <c r="Y5" s="3" t="n">
        <f aca="false">R5/Q5</f>
        <v>0.473754970917302</v>
      </c>
    </row>
    <row r="6" customFormat="false" ht="15" hidden="false" customHeight="true" outlineLevel="0" collapsed="false">
      <c r="A6" s="29" t="s">
        <v>47</v>
      </c>
      <c r="B6" s="26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30</v>
      </c>
      <c r="B8" s="26" t="n">
        <v>5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2" t="s">
        <v>31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0" t="s">
        <v>46</v>
      </c>
      <c r="B10" s="26" t="n">
        <v>0.023297</v>
      </c>
      <c r="C10" s="24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0.455</v>
      </c>
      <c r="S10" s="2" t="n">
        <v>1216.735306</v>
      </c>
      <c r="T10" s="2" t="n">
        <f aca="false">Q10*S10</f>
        <v>1181.33992044331</v>
      </c>
      <c r="U10" s="5" t="n">
        <f aca="false">AVERAGE(Q10, R10)</f>
        <v>0.712954771723093</v>
      </c>
      <c r="V10" s="4" t="n">
        <f aca="false">D10*E10*F10*G10*H10*I10*J10*K10*L10*M10*N10*O10*P10*1000</f>
        <v>247.5</v>
      </c>
      <c r="X10" s="4" t="n">
        <f aca="false">V10*Q10*R10</f>
        <v>109.336550961334</v>
      </c>
      <c r="Y10" s="3" t="n">
        <f aca="false">R10/Q10</f>
        <v>0.468632740373532</v>
      </c>
    </row>
    <row r="11" customFormat="false" ht="15" hidden="false" customHeight="true" outlineLevel="0" collapsed="false">
      <c r="A11" s="20" t="s">
        <v>48</v>
      </c>
      <c r="B11" s="26" t="n">
        <v>0.026569</v>
      </c>
      <c r="C11" s="1" t="n">
        <v>0</v>
      </c>
      <c r="D11" s="3" t="n">
        <v>1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0.967009539594811</v>
      </c>
      <c r="R11" s="3" t="n">
        <v>0.441</v>
      </c>
      <c r="S11" s="2" t="n">
        <v>1172.064</v>
      </c>
      <c r="T11" s="2" t="n">
        <f aca="false">Q11*S11</f>
        <v>1133.39706901565</v>
      </c>
      <c r="U11" s="5" t="n">
        <f aca="false">AVERAGE(Q11, R11)</f>
        <v>0.704004769797405</v>
      </c>
      <c r="V11" s="4" t="n">
        <f aca="false">D11*E11*F11*G11*H11*I11*J11*K11*L11*M11*N11*O11*P11*1000</f>
        <v>125</v>
      </c>
      <c r="X11" s="4" t="n">
        <f aca="false">V11*Q11*R11</f>
        <v>53.306400870164</v>
      </c>
      <c r="Y11" s="3" t="n">
        <f aca="false">R11/Q11</f>
        <v>0.45604513910461</v>
      </c>
    </row>
    <row r="12" customFormat="false" ht="15" hidden="false" customHeight="true" outlineLevel="0" collapsed="false">
      <c r="A12" s="20" t="s">
        <v>32</v>
      </c>
      <c r="B12" s="26" t="n">
        <v>3</v>
      </c>
      <c r="C12" s="1" t="n">
        <v>0</v>
      </c>
      <c r="D12" s="3" t="n">
        <v>0.995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0.966981278697337</v>
      </c>
      <c r="R12" s="3" t="n">
        <v>0.331</v>
      </c>
      <c r="S12" s="2" t="n">
        <v>1143.593</v>
      </c>
      <c r="T12" s="2" t="n">
        <f aca="false">Q12*S12</f>
        <v>1105.83302144932</v>
      </c>
      <c r="U12" s="5" t="n">
        <f aca="false">AVERAGE(Q12, R12)</f>
        <v>0.648990639348669</v>
      </c>
      <c r="V12" s="4" t="n">
        <f aca="false">D12*E12*F12*G12*H12*I12*J12*K12*L12*M12*N12*O12*P12*1000</f>
        <v>124.375</v>
      </c>
      <c r="W12" s="2" t="n">
        <v>625</v>
      </c>
      <c r="X12" s="4" t="n">
        <f aca="false">V12*Q12*R12</f>
        <v>39.8088061540718</v>
      </c>
      <c r="Y12" s="3" t="n">
        <f aca="false">R12/Q12</f>
        <v>0.342302387121605</v>
      </c>
    </row>
    <row r="13" customFormat="false" ht="13.8" hidden="false" customHeight="false" outlineLevel="0" collapsed="false">
      <c r="A13" s="20" t="s">
        <v>33</v>
      </c>
      <c r="B13" s="26" t="n">
        <v>0.024172</v>
      </c>
      <c r="C13" s="1" t="n">
        <v>0</v>
      </c>
      <c r="D13" s="3" t="n">
        <v>0.99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0.5</v>
      </c>
      <c r="J13" s="4" t="n">
        <v>1</v>
      </c>
      <c r="K13" s="4" t="n">
        <v>0.5</v>
      </c>
      <c r="L13" s="4" t="n">
        <v>0.5</v>
      </c>
      <c r="M13" s="4" t="n">
        <v>0.5</v>
      </c>
      <c r="N13" s="4" t="n">
        <v>1</v>
      </c>
      <c r="O13" s="4" t="n">
        <v>1</v>
      </c>
      <c r="P13" s="4" t="n">
        <v>1</v>
      </c>
      <c r="Q13" s="3" t="n">
        <v>0.925919352234368</v>
      </c>
      <c r="R13" s="3" t="n">
        <v>0.424</v>
      </c>
      <c r="S13" s="2" t="n">
        <v>1111.470511</v>
      </c>
      <c r="T13" s="2" t="n">
        <f aca="false">Q13*S13</f>
        <v>1029.13205557272</v>
      </c>
      <c r="U13" s="5" t="n">
        <f aca="false">AVERAGE(Q13, R13)</f>
        <v>0.674959676117184</v>
      </c>
      <c r="V13" s="4" t="n">
        <f aca="false">D13*E13*F13*G13*H13*I13*J13*K13*L13*M13*N13*O13*P13*1000</f>
        <v>61.875</v>
      </c>
      <c r="X13" s="4" t="n">
        <f aca="false">V13*Q13*R13</f>
        <v>24.2914942058686</v>
      </c>
      <c r="Y13" s="3" t="n">
        <f aca="false">R13/Q13</f>
        <v>0.457923251065906</v>
      </c>
    </row>
    <row r="14" customFormat="false" ht="15" hidden="false" customHeight="true" outlineLevel="0" collapsed="false">
      <c r="A14" s="20" t="s">
        <v>34</v>
      </c>
      <c r="B14" s="26" t="n">
        <v>0.023905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1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0.713342583564223</v>
      </c>
      <c r="R14" s="3" t="n">
        <v>0.264</v>
      </c>
      <c r="S14" s="2" t="n">
        <v>1104.547427</v>
      </c>
      <c r="T14" s="2" t="n">
        <f aca="false">Q14*S14</f>
        <v>787.920715245395</v>
      </c>
      <c r="U14" s="5" t="n">
        <f aca="false">AVERAGE(Q14, R14)</f>
        <v>0.488671291782112</v>
      </c>
      <c r="V14" s="4" t="n">
        <f aca="false">D14*E14*F14*G14*H14*I14*J14*K14*L14*M14*N14*O14*P14*1000</f>
        <v>125</v>
      </c>
      <c r="W14" s="2" t="n">
        <v>478</v>
      </c>
      <c r="X14" s="4" t="n">
        <f aca="false">V14*Q14*R14</f>
        <v>23.5403052576194</v>
      </c>
      <c r="Y14" s="3" t="n">
        <f aca="false">R14/Q14</f>
        <v>0.370088658777276</v>
      </c>
    </row>
    <row r="15" customFormat="false" ht="15" hidden="false" customHeight="true" outlineLevel="0" collapsed="false">
      <c r="A15" s="27" t="s">
        <v>37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30" t="s">
        <v>45</v>
      </c>
      <c r="B16" s="26" t="n">
        <v>0.027205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0.26</v>
      </c>
      <c r="S16" s="2" t="n">
        <v>1149.585506</v>
      </c>
      <c r="T16" s="2" t="n">
        <f aca="false">Q16*S16</f>
        <v>800.723463539215</v>
      </c>
      <c r="U16" s="5" t="n">
        <f aca="false">AVERAGE(Q16, R16)</f>
        <v>0.478266161742655</v>
      </c>
      <c r="V16" s="4" t="n">
        <f aca="false">D16*E16*F16*G16*H16*I16*J16*K16*L16*M16*N16*O16*P16*1000</f>
        <v>62.1875</v>
      </c>
      <c r="X16" s="4" t="n">
        <f aca="false">V16*Q16*R16</f>
        <v>11.2620570053531</v>
      </c>
      <c r="Y16" s="3" t="n">
        <f aca="false">R16/Q16</f>
        <v>0.37327772342138</v>
      </c>
    </row>
    <row r="17" customFormat="false" ht="15" hidden="false" customHeight="true" outlineLevel="0" collapsed="false">
      <c r="A17" s="27" t="s">
        <v>38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39</v>
      </c>
      <c r="B18" s="23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9" t="s">
        <v>49</v>
      </c>
      <c r="B19" s="23" t="n">
        <v>1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1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</v>
      </c>
      <c r="Q19" s="3" t="n">
        <v>0.485233400640554</v>
      </c>
      <c r="R19" s="3" t="n">
        <v>0.313</v>
      </c>
      <c r="S19" s="2" t="n">
        <v>1251.429</v>
      </c>
      <c r="T19" s="2" t="n">
        <f aca="false">Q19*S19</f>
        <v>607.235149330208</v>
      </c>
      <c r="U19" s="5" t="n">
        <f aca="false">AVERAGE(Q19, R19)</f>
        <v>0.399116700320277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0.645050401697019</v>
      </c>
    </row>
    <row r="20" customFormat="false" ht="15" hidden="false" customHeight="true" outlineLevel="0" collapsed="false">
      <c r="A20" s="24" t="s">
        <v>40</v>
      </c>
      <c r="B20" s="2" t="n">
        <v>0.018995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0.5</v>
      </c>
      <c r="L20" s="4" t="n">
        <v>1</v>
      </c>
      <c r="M20" s="4" t="n">
        <v>0.5</v>
      </c>
      <c r="N20" s="4" t="n">
        <v>0.5</v>
      </c>
      <c r="O20" s="4" t="n">
        <v>0</v>
      </c>
      <c r="P20" s="4" t="n">
        <v>0</v>
      </c>
      <c r="Q20" s="3" t="n">
        <v>0.211354517282616</v>
      </c>
      <c r="R20" s="3" t="n">
        <v>0.15</v>
      </c>
      <c r="S20" s="2" t="n">
        <v>998.411</v>
      </c>
      <c r="T20" s="2" t="n">
        <f aca="false">Q20*S20</f>
        <v>211.018674954654</v>
      </c>
      <c r="U20" s="5" t="n">
        <f aca="false">AVERAGE(Q20, R20)</f>
        <v>0.180677258641308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0.709708039026321</v>
      </c>
    </row>
    <row r="21" customFormat="false" ht="15" hidden="false" customHeight="true" outlineLevel="0" collapsed="false">
      <c r="A21" s="24" t="s">
        <v>41</v>
      </c>
      <c r="B21" s="2" t="n">
        <v>0.018061</v>
      </c>
      <c r="C21" s="1" t="n">
        <v>0</v>
      </c>
      <c r="D21" s="3" t="n">
        <v>0.995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0</v>
      </c>
      <c r="L21" s="4" t="n">
        <v>0.5</v>
      </c>
      <c r="M21" s="4" t="n">
        <v>0</v>
      </c>
      <c r="N21" s="4" t="n">
        <v>0</v>
      </c>
      <c r="O21" s="4" t="n">
        <v>0</v>
      </c>
      <c r="P21" s="4" t="n">
        <v>0</v>
      </c>
      <c r="Q21" s="3" t="n">
        <v>0.0866669481949934</v>
      </c>
      <c r="R21" s="3" t="n">
        <v>0.179</v>
      </c>
      <c r="S21" s="2" t="n">
        <v>983.426</v>
      </c>
      <c r="T21" s="2" t="n">
        <f aca="false">Q21*S21</f>
        <v>85.2305301956096</v>
      </c>
      <c r="U21" s="5" t="n">
        <f aca="false">AVERAGE(Q21, R21)</f>
        <v>0.132833474097497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2.06537790620324</v>
      </c>
    </row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1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8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0" activeCellId="0" sqref="A10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27</v>
      </c>
      <c r="B3" s="26" t="n">
        <v>3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4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44</v>
      </c>
      <c r="B5" s="26" t="n">
        <v>0.024198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0.46</v>
      </c>
      <c r="S5" s="2" t="n">
        <v>1226.70497</v>
      </c>
      <c r="T5" s="2" t="n">
        <f aca="false">Q5*S5</f>
        <v>1191.08889793264</v>
      </c>
      <c r="U5" s="5" t="n">
        <f aca="false">AVERAGE(Q5, R5)</f>
        <v>0.715483032620567</v>
      </c>
      <c r="V5" s="4" t="n">
        <f aca="false">D5*E5*F5*G5*H5*I5*J5*K5*L5*M5*N5*O5*P5*1000</f>
        <v>250</v>
      </c>
      <c r="X5" s="4" t="n">
        <f aca="false">V5*Q5*R5</f>
        <v>111.66109750273</v>
      </c>
      <c r="Y5" s="3" t="n">
        <f aca="false">R5/Q5</f>
        <v>0.473754970917302</v>
      </c>
    </row>
    <row r="6" customFormat="false" ht="15" hidden="false" customHeight="true" outlineLevel="0" collapsed="false">
      <c r="A6" s="20" t="s">
        <v>47</v>
      </c>
      <c r="B6" s="26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30</v>
      </c>
      <c r="B8" s="26" t="n">
        <v>5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2" t="s">
        <v>31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9" t="s">
        <v>50</v>
      </c>
      <c r="B10" s="26" t="n">
        <v>1</v>
      </c>
      <c r="C10" s="28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1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0" t="s">
        <v>46</v>
      </c>
      <c r="B11" s="26" t="n">
        <v>0.023297</v>
      </c>
      <c r="C11" s="24" t="n">
        <v>0</v>
      </c>
      <c r="D11" s="3" t="n">
        <v>0.99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0.970909543446185</v>
      </c>
      <c r="R11" s="3" t="n">
        <v>0.455</v>
      </c>
      <c r="S11" s="2" t="n">
        <v>1216.735306</v>
      </c>
      <c r="T11" s="2" t="n">
        <f aca="false">Q11*S11</f>
        <v>1181.33992044331</v>
      </c>
      <c r="U11" s="5" t="n">
        <f aca="false">AVERAGE(Q11, R11)</f>
        <v>0.712954771723093</v>
      </c>
      <c r="V11" s="4" t="n">
        <f aca="false">D11*E11*F11*G11*H11*I11*J11*K11*L11*M11*N11*O11*P11*1000</f>
        <v>247.5</v>
      </c>
      <c r="X11" s="4" t="n">
        <f aca="false">V11*Q11*R11</f>
        <v>109.336550961334</v>
      </c>
      <c r="Y11" s="3" t="n">
        <f aca="false">R11/Q11</f>
        <v>0.468632740373532</v>
      </c>
    </row>
    <row r="12" customFormat="false" ht="15" hidden="false" customHeight="true" outlineLevel="0" collapsed="false">
      <c r="A12" s="20" t="s">
        <v>48</v>
      </c>
      <c r="B12" s="26" t="n">
        <v>0.026569</v>
      </c>
      <c r="C12" s="1" t="n">
        <v>0</v>
      </c>
      <c r="D12" s="3" t="n">
        <v>1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0.967009539594811</v>
      </c>
      <c r="R12" s="3" t="n">
        <v>0.441</v>
      </c>
      <c r="S12" s="2" t="n">
        <v>1172.064</v>
      </c>
      <c r="T12" s="2" t="n">
        <f aca="false">Q12*S12</f>
        <v>1133.39706901565</v>
      </c>
      <c r="U12" s="5" t="n">
        <f aca="false">AVERAGE(Q12, R12)</f>
        <v>0.704004769797405</v>
      </c>
      <c r="V12" s="4" t="n">
        <f aca="false">D12*E12*F12*G12*H12*I12*J12*K12*L12*M12*N12*O12*P12*1000</f>
        <v>125</v>
      </c>
      <c r="X12" s="4" t="n">
        <f aca="false">V12*Q12*R12</f>
        <v>53.306400870164</v>
      </c>
      <c r="Y12" s="3" t="n">
        <f aca="false">R12/Q12</f>
        <v>0.45604513910461</v>
      </c>
    </row>
    <row r="13" customFormat="false" ht="15" hidden="false" customHeight="true" outlineLevel="0" collapsed="false">
      <c r="A13" s="20" t="s">
        <v>32</v>
      </c>
      <c r="B13" s="26" t="n">
        <v>3</v>
      </c>
      <c r="C13" s="1" t="n">
        <v>0</v>
      </c>
      <c r="D13" s="3" t="n">
        <v>0.995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0.966981278697337</v>
      </c>
      <c r="R13" s="3" t="n">
        <v>0.331</v>
      </c>
      <c r="S13" s="2" t="n">
        <v>1143.593</v>
      </c>
      <c r="T13" s="2" t="n">
        <f aca="false">Q13*S13</f>
        <v>1105.83302144932</v>
      </c>
      <c r="U13" s="5" t="n">
        <f aca="false">AVERAGE(Q13, R13)</f>
        <v>0.648990639348669</v>
      </c>
      <c r="V13" s="4" t="n">
        <f aca="false">D13*E13*F13*G13*H13*I13*J13*K13*L13*M13*N13*O13*P13*1000</f>
        <v>124.375</v>
      </c>
      <c r="W13" s="2" t="n">
        <v>625</v>
      </c>
      <c r="X13" s="4" t="n">
        <f aca="false">V13*Q13*R13</f>
        <v>39.8088061540718</v>
      </c>
      <c r="Y13" s="3" t="n">
        <f aca="false">R13/Q13</f>
        <v>0.342302387121605</v>
      </c>
    </row>
    <row r="14" customFormat="false" ht="13.8" hidden="false" customHeight="false" outlineLevel="0" collapsed="false">
      <c r="A14" s="20" t="s">
        <v>33</v>
      </c>
      <c r="B14" s="26" t="n">
        <v>0.024172</v>
      </c>
      <c r="C14" s="1" t="n">
        <v>0</v>
      </c>
      <c r="D14" s="3" t="n">
        <v>0.99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0.5</v>
      </c>
      <c r="L14" s="4" t="n">
        <v>0.5</v>
      </c>
      <c r="M14" s="4" t="n">
        <v>0.5</v>
      </c>
      <c r="N14" s="4" t="n">
        <v>1</v>
      </c>
      <c r="O14" s="4" t="n">
        <v>1</v>
      </c>
      <c r="P14" s="4" t="n">
        <v>1</v>
      </c>
      <c r="Q14" s="3" t="n">
        <v>0.925919352234368</v>
      </c>
      <c r="R14" s="3" t="n">
        <v>0.424</v>
      </c>
      <c r="S14" s="2" t="n">
        <v>1111.470511</v>
      </c>
      <c r="T14" s="2" t="n">
        <f aca="false">Q14*S14</f>
        <v>1029.13205557272</v>
      </c>
      <c r="U14" s="5" t="n">
        <f aca="false">AVERAGE(Q14, R14)</f>
        <v>0.674959676117184</v>
      </c>
      <c r="V14" s="4" t="n">
        <f aca="false">D14*E14*F14*G14*H14*I14*J14*K14*L14*M14*N14*O14*P14*1000</f>
        <v>61.875</v>
      </c>
      <c r="X14" s="4" t="n">
        <f aca="false">V14*Q14*R14</f>
        <v>24.2914942058686</v>
      </c>
      <c r="Y14" s="3" t="n">
        <f aca="false">R14/Q14</f>
        <v>0.457923251065906</v>
      </c>
    </row>
    <row r="15" customFormat="false" ht="15" hidden="false" customHeight="true" outlineLevel="0" collapsed="false">
      <c r="A15" s="20" t="s">
        <v>34</v>
      </c>
      <c r="B15" s="26" t="n">
        <v>0.023905</v>
      </c>
      <c r="C15" s="1" t="n">
        <v>0</v>
      </c>
      <c r="D15" s="3" t="n">
        <v>1</v>
      </c>
      <c r="E15" s="4" t="n">
        <v>1</v>
      </c>
      <c r="F15" s="4" t="n">
        <v>1</v>
      </c>
      <c r="G15" s="4" t="n">
        <v>0.5</v>
      </c>
      <c r="H15" s="4" t="n">
        <v>1</v>
      </c>
      <c r="I15" s="4" t="n">
        <v>1</v>
      </c>
      <c r="J15" s="4" t="n">
        <v>1</v>
      </c>
      <c r="K15" s="4" t="n">
        <v>1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0.713342583564223</v>
      </c>
      <c r="R15" s="3" t="n">
        <v>0.264</v>
      </c>
      <c r="S15" s="2" t="n">
        <v>1104.547427</v>
      </c>
      <c r="T15" s="2" t="n">
        <f aca="false">Q15*S15</f>
        <v>787.920715245395</v>
      </c>
      <c r="U15" s="5" t="n">
        <f aca="false">AVERAGE(Q15, R15)</f>
        <v>0.488671291782112</v>
      </c>
      <c r="V15" s="4" t="n">
        <f aca="false">D15*E15*F15*G15*H15*I15*J15*K15*L15*M15*N15*O15*P15*1000</f>
        <v>125</v>
      </c>
      <c r="W15" s="2" t="n">
        <v>478</v>
      </c>
      <c r="X15" s="4" t="n">
        <f aca="false">V15*Q15*R15</f>
        <v>23.5403052576194</v>
      </c>
      <c r="Y15" s="3" t="n">
        <f aca="false">R15/Q15</f>
        <v>0.370088658777276</v>
      </c>
    </row>
    <row r="16" customFormat="false" ht="15" hidden="false" customHeight="true" outlineLevel="0" collapsed="false">
      <c r="A16" s="27" t="s">
        <v>37</v>
      </c>
      <c r="B16" s="26" t="n">
        <v>0.024989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1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0.70207145939016</v>
      </c>
      <c r="R16" s="3" t="n">
        <v>0.274</v>
      </c>
      <c r="S16" s="2" t="n">
        <v>1188.985</v>
      </c>
      <c r="T16" s="2" t="n">
        <f aca="false">Q16*S16</f>
        <v>834.752434143009</v>
      </c>
      <c r="U16" s="5" t="n">
        <f aca="false">AVERAGE(Q16, R16)</f>
        <v>0.48803572969508</v>
      </c>
      <c r="V16" s="4" t="n">
        <f aca="false">D16*E16*F16*G16*H16*I16*J16*K16*L16*M16*N16*O16*P16*1000</f>
        <v>124.375</v>
      </c>
      <c r="X16" s="4" t="n">
        <f aca="false">V16*Q16*R16</f>
        <v>23.9257177466924</v>
      </c>
      <c r="Y16" s="3" t="n">
        <f aca="false">R16/Q16</f>
        <v>0.390273662794959</v>
      </c>
    </row>
    <row r="17" customFormat="false" ht="15" hidden="false" customHeight="true" outlineLevel="0" collapsed="false">
      <c r="A17" s="30" t="s">
        <v>45</v>
      </c>
      <c r="B17" s="26" t="n">
        <v>0.027205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0.26</v>
      </c>
      <c r="S17" s="2" t="n">
        <v>1149.585506</v>
      </c>
      <c r="T17" s="2" t="n">
        <f aca="false">Q17*S17</f>
        <v>800.723463539215</v>
      </c>
      <c r="U17" s="5" t="n">
        <f aca="false">AVERAGE(Q17, R17)</f>
        <v>0.478266161742655</v>
      </c>
      <c r="V17" s="4" t="n">
        <f aca="false">D17*E17*F17*G17*H17*I17*J17*K17*L17*M17*N17*O17*P17*1000</f>
        <v>62.1875</v>
      </c>
      <c r="X17" s="4" t="n">
        <f aca="false">V17*Q17*R17</f>
        <v>11.2620570053531</v>
      </c>
      <c r="Y17" s="3" t="n">
        <f aca="false">R17/Q17</f>
        <v>0.37327772342138</v>
      </c>
    </row>
    <row r="18" customFormat="false" ht="15" hidden="false" customHeight="true" outlineLevel="0" collapsed="false">
      <c r="A18" s="20" t="s">
        <v>38</v>
      </c>
      <c r="B18" s="26" t="n">
        <v>2</v>
      </c>
      <c r="C18" s="1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0.5</v>
      </c>
      <c r="I18" s="4" t="n">
        <v>1</v>
      </c>
      <c r="J18" s="4" t="n">
        <v>1</v>
      </c>
      <c r="K18" s="4" t="n">
        <v>0.5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0.696532323485309</v>
      </c>
      <c r="R18" s="3" t="n">
        <v>0.251</v>
      </c>
      <c r="S18" s="2" t="n">
        <v>1143.952637</v>
      </c>
      <c r="T18" s="2" t="n">
        <f aca="false">Q18*S18</f>
        <v>796.799988206756</v>
      </c>
      <c r="U18" s="5" t="n">
        <f aca="false">AVERAGE(Q18, R18)</f>
        <v>0.473766161742655</v>
      </c>
      <c r="V18" s="4" t="n">
        <f aca="false">D18*E18*F18*G18*H18*I18*J18*K18*L18*M18*N18*O18*P18*1000</f>
        <v>62.1875</v>
      </c>
      <c r="W18" s="2" t="n">
        <v>554</v>
      </c>
      <c r="X18" s="4" t="n">
        <f aca="false">V18*Q18*R18</f>
        <v>10.8722165705524</v>
      </c>
      <c r="Y18" s="3" t="n">
        <f aca="false">R18/Q18</f>
        <v>0.360356571456793</v>
      </c>
    </row>
    <row r="19" customFormat="false" ht="15" hidden="false" customHeight="true" outlineLevel="0" collapsed="false">
      <c r="A19" s="20" t="s">
        <v>39</v>
      </c>
      <c r="B19" s="23" t="n">
        <v>1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1</v>
      </c>
      <c r="L19" s="4" t="n">
        <v>0.5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0.688265174451678</v>
      </c>
      <c r="R19" s="3" t="n">
        <v>0.309</v>
      </c>
      <c r="S19" s="2" t="n">
        <v>1236.045285</v>
      </c>
      <c r="T19" s="2" t="n">
        <f aca="false">Q19*S19</f>
        <v>850.726923710699</v>
      </c>
      <c r="U19" s="5" t="n">
        <f aca="false">AVERAGE(Q19, R19)</f>
        <v>0.498632587225839</v>
      </c>
      <c r="V19" s="4" t="n">
        <f aca="false">D19*E19*F19*G19*H19*I19*J19*K19*L19*M19*N19*O19*P19*1000</f>
        <v>62.5</v>
      </c>
      <c r="X19" s="4" t="n">
        <f aca="false">V19*Q19*R19</f>
        <v>13.292121181598</v>
      </c>
      <c r="Y19" s="3" t="n">
        <f aca="false">R19/Q19</f>
        <v>0.448954867208227</v>
      </c>
    </row>
    <row r="20" customFormat="false" ht="15" hidden="false" customHeight="true" outlineLevel="0" collapsed="false">
      <c r="A20" s="20" t="s">
        <v>49</v>
      </c>
      <c r="B20" s="23" t="n">
        <v>1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1</v>
      </c>
      <c r="L20" s="4" t="n">
        <v>1</v>
      </c>
      <c r="M20" s="4" t="n">
        <v>1</v>
      </c>
      <c r="N20" s="4" t="n">
        <v>0.5</v>
      </c>
      <c r="O20" s="4" t="n">
        <v>1</v>
      </c>
      <c r="P20" s="4" t="n">
        <v>0</v>
      </c>
      <c r="Q20" s="3" t="n">
        <v>0.485233400640554</v>
      </c>
      <c r="R20" s="3" t="n">
        <v>0.313</v>
      </c>
      <c r="S20" s="2" t="n">
        <v>1251.429</v>
      </c>
      <c r="T20" s="2" t="n">
        <f aca="false">Q20*S20</f>
        <v>607.235149330208</v>
      </c>
      <c r="U20" s="5" t="n">
        <f aca="false">AVERAGE(Q20, R20)</f>
        <v>0.399116700320277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0.645050401697019</v>
      </c>
    </row>
    <row r="21" customFormat="false" ht="15" hidden="false" customHeight="true" outlineLevel="0" collapsed="false">
      <c r="A21" s="24" t="s">
        <v>40</v>
      </c>
      <c r="B21" s="2" t="n">
        <v>0.018995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0.5</v>
      </c>
      <c r="L21" s="4" t="n">
        <v>1</v>
      </c>
      <c r="M21" s="4" t="n">
        <v>0.5</v>
      </c>
      <c r="N21" s="4" t="n">
        <v>0.5</v>
      </c>
      <c r="O21" s="4" t="n">
        <v>0</v>
      </c>
      <c r="P21" s="4" t="n">
        <v>0</v>
      </c>
      <c r="Q21" s="3" t="n">
        <v>0.211354517282616</v>
      </c>
      <c r="R21" s="3" t="n">
        <v>0.15</v>
      </c>
      <c r="S21" s="2" t="n">
        <v>998.411</v>
      </c>
      <c r="T21" s="2" t="n">
        <f aca="false">Q21*S21</f>
        <v>211.018674954654</v>
      </c>
      <c r="U21" s="5" t="n">
        <f aca="false">AVERAGE(Q21, R21)</f>
        <v>0.180677258641308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0.709708039026321</v>
      </c>
    </row>
    <row r="22" customFormat="false" ht="15" hidden="false" customHeight="true" outlineLevel="0" collapsed="false">
      <c r="A22" s="24" t="s">
        <v>41</v>
      </c>
      <c r="B22" s="2" t="n">
        <v>0.018061</v>
      </c>
      <c r="C22" s="1" t="n">
        <v>0</v>
      </c>
      <c r="D22" s="3" t="n">
        <v>0.995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0.5</v>
      </c>
      <c r="J22" s="4" t="n">
        <v>1</v>
      </c>
      <c r="K22" s="4" t="n">
        <v>0</v>
      </c>
      <c r="L22" s="4" t="n">
        <v>0.5</v>
      </c>
      <c r="M22" s="4" t="n">
        <v>0</v>
      </c>
      <c r="N22" s="4" t="n">
        <v>0</v>
      </c>
      <c r="O22" s="4" t="n">
        <v>0</v>
      </c>
      <c r="P22" s="4" t="n">
        <v>0</v>
      </c>
      <c r="Q22" s="3" t="n">
        <v>0.0866669481949934</v>
      </c>
      <c r="R22" s="3" t="n">
        <v>0.179</v>
      </c>
      <c r="S22" s="2" t="n">
        <v>983.426</v>
      </c>
      <c r="T22" s="2" t="n">
        <f aca="false">Q22*S22</f>
        <v>85.2305301956096</v>
      </c>
      <c r="U22" s="5" t="n">
        <f aca="false">AVERAGE(Q22, R22)</f>
        <v>0.132833474097497</v>
      </c>
      <c r="V22" s="4" t="n">
        <f aca="false">D22*E22*F22*G22*H22*I22*J22*K22*L22*M22*N22*O22*P22*1000</f>
        <v>0</v>
      </c>
      <c r="X22" s="4" t="n">
        <f aca="false">V22*Q22*R22</f>
        <v>0</v>
      </c>
      <c r="Y22" s="3" t="n">
        <f aca="false">R22/Q22</f>
        <v>2.06537790620324</v>
      </c>
    </row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2.8" hidden="false" customHeight="false" outlineLevel="0" collapsed="false"/>
  </sheetData>
  <autoFilter ref="A2:Y22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9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8" activeCellId="0" sqref="A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27</v>
      </c>
      <c r="B3" s="26" t="n">
        <v>3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4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44</v>
      </c>
      <c r="B5" s="26" t="n">
        <v>0.024198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0.46</v>
      </c>
      <c r="S5" s="2" t="n">
        <v>1226.70497</v>
      </c>
      <c r="T5" s="2" t="n">
        <f aca="false">Q5*S5</f>
        <v>1191.08889793264</v>
      </c>
      <c r="U5" s="5" t="n">
        <f aca="false">AVERAGE(Q5, R5)</f>
        <v>0.715483032620567</v>
      </c>
      <c r="V5" s="4" t="n">
        <f aca="false">D5*E5*F5*G5*H5*I5*J5*K5*L5*M5*N5*O5*P5*1000</f>
        <v>250</v>
      </c>
      <c r="X5" s="4" t="n">
        <f aca="false">V5*Q5*R5</f>
        <v>111.66109750273</v>
      </c>
      <c r="Y5" s="3" t="n">
        <f aca="false">R5/Q5</f>
        <v>0.473754970917302</v>
      </c>
    </row>
    <row r="6" customFormat="false" ht="15" hidden="false" customHeight="true" outlineLevel="0" collapsed="false">
      <c r="A6" s="20" t="s">
        <v>47</v>
      </c>
      <c r="B6" s="26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29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9" t="s">
        <v>51</v>
      </c>
      <c r="B8" s="26" t="n">
        <v>6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5" t="s">
        <v>30</v>
      </c>
      <c r="B9" s="26" t="n">
        <v>5</v>
      </c>
      <c r="C9" s="24" t="n">
        <v>1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0.472</v>
      </c>
      <c r="S9" s="2" t="n">
        <v>1251.935991</v>
      </c>
      <c r="T9" s="2" t="n">
        <f aca="false">Q9*S9</f>
        <v>1215.55198228034</v>
      </c>
      <c r="U9" s="5" t="n">
        <f aca="false">AVERAGE(Q9, R9)</f>
        <v>0.72146890217183</v>
      </c>
      <c r="V9" s="4" t="n">
        <f aca="false">D9*E9*F9*G9*H9*I9*J9*K9*L9*M9*N9*O9*P9*1000</f>
        <v>248.75</v>
      </c>
      <c r="W9" s="2" t="n">
        <v>695</v>
      </c>
      <c r="X9" s="4" t="n">
        <f aca="false">V9*Q9*R9</f>
        <v>113.997807607989</v>
      </c>
      <c r="Y9" s="3" t="n">
        <f aca="false">R9/Q9</f>
        <v>0.486127945465122</v>
      </c>
    </row>
    <row r="10" customFormat="false" ht="15" hidden="false" customHeight="true" outlineLevel="0" collapsed="false">
      <c r="A10" s="20" t="s">
        <v>31</v>
      </c>
      <c r="B10" s="26" t="n">
        <v>0.023025</v>
      </c>
      <c r="C10" s="1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" t="n">
        <v>0.47</v>
      </c>
      <c r="S10" s="2" t="n">
        <v>1267.273</v>
      </c>
      <c r="T10" s="2" t="n">
        <f aca="false">Q10*S10</f>
        <v>1230.443264124</v>
      </c>
      <c r="U10" s="5" t="n">
        <f aca="false">AVERAGE(Q10, R10)</f>
        <v>0.72046890217183</v>
      </c>
      <c r="V10" s="4" t="n">
        <f aca="false">D10*E10*F10*G10*H10*I10*J10*K10*L10*M10*N10*O10*P10*1000</f>
        <v>248.75</v>
      </c>
      <c r="X10" s="4" t="n">
        <f aca="false">V10*Q10*R10</f>
        <v>113.514766050328</v>
      </c>
      <c r="Y10" s="3" t="n">
        <f aca="false">R10/Q10</f>
        <v>0.484068081289423</v>
      </c>
    </row>
    <row r="11" customFormat="false" ht="15" hidden="false" customHeight="true" outlineLevel="0" collapsed="false">
      <c r="A11" s="20" t="s">
        <v>50</v>
      </c>
      <c r="B11" s="26" t="n">
        <v>1</v>
      </c>
      <c r="C11" s="28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0.970937804343659</v>
      </c>
      <c r="R11" s="31" t="n">
        <v>0.391</v>
      </c>
      <c r="S11" s="2" t="n">
        <v>1125.715958</v>
      </c>
      <c r="T11" s="2" t="n">
        <f aca="false">Q11*S11</f>
        <v>1093.00018057514</v>
      </c>
      <c r="U11" s="5" t="n">
        <f aca="false">AVERAGE(Q11, R11)</f>
        <v>0.68096890217183</v>
      </c>
      <c r="V11" s="4" t="n">
        <f aca="false">D11*E11*F11*G11*H11*I11*J11*K11*L11*M11*N11*O11*P11*1000</f>
        <v>248.75</v>
      </c>
      <c r="X11" s="4" t="n">
        <f aca="false">V11*Q11*R11</f>
        <v>94.4346245227197</v>
      </c>
      <c r="Y11" s="3" t="n">
        <f aca="false">R11/Q11</f>
        <v>0.402703446349286</v>
      </c>
    </row>
    <row r="12" customFormat="false" ht="15" hidden="false" customHeight="true" outlineLevel="0" collapsed="false">
      <c r="A12" s="20" t="s">
        <v>46</v>
      </c>
      <c r="B12" s="26" t="n">
        <v>0.023297</v>
      </c>
      <c r="C12" s="24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0.970909543446185</v>
      </c>
      <c r="R12" s="3" t="n">
        <v>0.455</v>
      </c>
      <c r="S12" s="2" t="n">
        <v>1216.735306</v>
      </c>
      <c r="T12" s="2" t="n">
        <f aca="false">Q12*S12</f>
        <v>1181.33992044331</v>
      </c>
      <c r="U12" s="5" t="n">
        <f aca="false">AVERAGE(Q12, R12)</f>
        <v>0.712954771723093</v>
      </c>
      <c r="V12" s="4" t="n">
        <f aca="false">D12*E12*F12*G12*H12*I12*J12*K12*L12*M12*N12*O12*P12*1000</f>
        <v>247.5</v>
      </c>
      <c r="X12" s="4" t="n">
        <f aca="false">V12*Q12*R12</f>
        <v>109.336550961334</v>
      </c>
      <c r="Y12" s="3" t="n">
        <f aca="false">R12/Q12</f>
        <v>0.468632740373532</v>
      </c>
    </row>
    <row r="13" customFormat="false" ht="15" hidden="false" customHeight="true" outlineLevel="0" collapsed="false">
      <c r="A13" s="20" t="s">
        <v>48</v>
      </c>
      <c r="B13" s="26" t="n">
        <v>0.026569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0.967009539594811</v>
      </c>
      <c r="R13" s="3" t="n">
        <v>0.441</v>
      </c>
      <c r="S13" s="2" t="n">
        <v>1172.064</v>
      </c>
      <c r="T13" s="2" t="n">
        <f aca="false">Q13*S13</f>
        <v>1133.39706901565</v>
      </c>
      <c r="U13" s="5" t="n">
        <f aca="false">AVERAGE(Q13, R13)</f>
        <v>0.704004769797405</v>
      </c>
      <c r="V13" s="4" t="n">
        <f aca="false">D13*E13*F13*G13*H13*I13*J13*K13*L13*M13*N13*O13*P13*1000</f>
        <v>125</v>
      </c>
      <c r="X13" s="4" t="n">
        <f aca="false">V13*Q13*R13</f>
        <v>53.306400870164</v>
      </c>
      <c r="Y13" s="3" t="n">
        <f aca="false">R13/Q13</f>
        <v>0.45604513910461</v>
      </c>
    </row>
    <row r="14" customFormat="false" ht="15" hidden="false" customHeight="true" outlineLevel="0" collapsed="false">
      <c r="A14" s="20" t="s">
        <v>32</v>
      </c>
      <c r="B14" s="26" t="n">
        <v>3</v>
      </c>
      <c r="C14" s="1" t="n">
        <v>0</v>
      </c>
      <c r="D14" s="3" t="n">
        <v>0.995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0.5</v>
      </c>
      <c r="M14" s="4" t="n">
        <v>1</v>
      </c>
      <c r="N14" s="4" t="n">
        <v>1</v>
      </c>
      <c r="O14" s="4" t="n">
        <v>1</v>
      </c>
      <c r="P14" s="4" t="n">
        <v>1</v>
      </c>
      <c r="Q14" s="3" t="n">
        <v>0.966981278697337</v>
      </c>
      <c r="R14" s="3" t="n">
        <v>0.331</v>
      </c>
      <c r="S14" s="2" t="n">
        <v>1143.593</v>
      </c>
      <c r="T14" s="2" t="n">
        <f aca="false">Q14*S14</f>
        <v>1105.83302144932</v>
      </c>
      <c r="U14" s="5" t="n">
        <f aca="false">AVERAGE(Q14, R14)</f>
        <v>0.648990639348669</v>
      </c>
      <c r="V14" s="4" t="n">
        <f aca="false">D14*E14*F14*G14*H14*I14*J14*K14*L14*M14*N14*O14*P14*1000</f>
        <v>124.375</v>
      </c>
      <c r="W14" s="2" t="n">
        <v>625</v>
      </c>
      <c r="X14" s="4" t="n">
        <f aca="false">V14*Q14*R14</f>
        <v>39.8088061540718</v>
      </c>
      <c r="Y14" s="3" t="n">
        <f aca="false">R14/Q14</f>
        <v>0.342302387121605</v>
      </c>
    </row>
    <row r="15" customFormat="false" ht="13.8" hidden="false" customHeight="false" outlineLevel="0" collapsed="false">
      <c r="A15" s="20" t="s">
        <v>33</v>
      </c>
      <c r="B15" s="26" t="n">
        <v>0.024172</v>
      </c>
      <c r="C15" s="1" t="n">
        <v>0</v>
      </c>
      <c r="D15" s="3" t="n">
        <v>0.99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0.5</v>
      </c>
      <c r="J15" s="4" t="n">
        <v>1</v>
      </c>
      <c r="K15" s="4" t="n">
        <v>0.5</v>
      </c>
      <c r="L15" s="4" t="n">
        <v>0.5</v>
      </c>
      <c r="M15" s="4" t="n">
        <v>0.5</v>
      </c>
      <c r="N15" s="4" t="n">
        <v>1</v>
      </c>
      <c r="O15" s="4" t="n">
        <v>1</v>
      </c>
      <c r="P15" s="4" t="n">
        <v>1</v>
      </c>
      <c r="Q15" s="3" t="n">
        <v>0.925919352234368</v>
      </c>
      <c r="R15" s="3" t="n">
        <v>0.424</v>
      </c>
      <c r="S15" s="2" t="n">
        <v>1111.470511</v>
      </c>
      <c r="T15" s="2" t="n">
        <f aca="false">Q15*S15</f>
        <v>1029.13205557272</v>
      </c>
      <c r="U15" s="5" t="n">
        <f aca="false">AVERAGE(Q15, R15)</f>
        <v>0.674959676117184</v>
      </c>
      <c r="V15" s="4" t="n">
        <f aca="false">D15*E15*F15*G15*H15*I15*J15*K15*L15*M15*N15*O15*P15*1000</f>
        <v>61.875</v>
      </c>
      <c r="X15" s="4" t="n">
        <f aca="false">V15*Q15*R15</f>
        <v>24.2914942058686</v>
      </c>
      <c r="Y15" s="3" t="n">
        <f aca="false">R15/Q15</f>
        <v>0.457923251065906</v>
      </c>
    </row>
    <row r="16" customFormat="false" ht="15" hidden="false" customHeight="true" outlineLevel="0" collapsed="false">
      <c r="A16" s="20" t="s">
        <v>34</v>
      </c>
      <c r="B16" s="26" t="n">
        <v>0.023905</v>
      </c>
      <c r="C16" s="1" t="n">
        <v>0</v>
      </c>
      <c r="D16" s="3" t="n">
        <v>1</v>
      </c>
      <c r="E16" s="4" t="n">
        <v>1</v>
      </c>
      <c r="F16" s="4" t="n">
        <v>1</v>
      </c>
      <c r="G16" s="4" t="n">
        <v>0.5</v>
      </c>
      <c r="H16" s="4" t="n">
        <v>1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0.713342583564223</v>
      </c>
      <c r="R16" s="3" t="n">
        <v>0.264</v>
      </c>
      <c r="S16" s="2" t="n">
        <v>1104.547427</v>
      </c>
      <c r="T16" s="2" t="n">
        <f aca="false">Q16*S16</f>
        <v>787.920715245395</v>
      </c>
      <c r="U16" s="5" t="n">
        <f aca="false">AVERAGE(Q16, R16)</f>
        <v>0.488671291782112</v>
      </c>
      <c r="V16" s="4" t="n">
        <f aca="false">D16*E16*F16*G16*H16*I16*J16*K16*L16*M16*N16*O16*P16*1000</f>
        <v>125</v>
      </c>
      <c r="W16" s="2" t="n">
        <v>478</v>
      </c>
      <c r="X16" s="4" t="n">
        <f aca="false">V16*Q16*R16</f>
        <v>23.5403052576194</v>
      </c>
      <c r="Y16" s="3" t="n">
        <f aca="false">R16/Q16</f>
        <v>0.370088658777276</v>
      </c>
    </row>
    <row r="17" customFormat="false" ht="15" hidden="false" customHeight="true" outlineLevel="0" collapsed="false">
      <c r="A17" s="27" t="s">
        <v>37</v>
      </c>
      <c r="B17" s="26" t="n">
        <v>0.024989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0.70207145939016</v>
      </c>
      <c r="R17" s="3" t="n">
        <v>0.274</v>
      </c>
      <c r="S17" s="2" t="n">
        <v>1188.985</v>
      </c>
      <c r="T17" s="2" t="n">
        <f aca="false">Q17*S17</f>
        <v>834.752434143009</v>
      </c>
      <c r="U17" s="5" t="n">
        <f aca="false">AVERAGE(Q17, R17)</f>
        <v>0.48803572969508</v>
      </c>
      <c r="V17" s="4" t="n">
        <f aca="false">D17*E17*F17*G17*H17*I17*J17*K17*L17*M17*N17*O17*P17*1000</f>
        <v>124.375</v>
      </c>
      <c r="X17" s="4" t="n">
        <f aca="false">V17*Q17*R17</f>
        <v>23.9257177466924</v>
      </c>
      <c r="Y17" s="3" t="n">
        <f aca="false">R17/Q17</f>
        <v>0.390273662794959</v>
      </c>
    </row>
    <row r="18" customFormat="false" ht="15" hidden="false" customHeight="true" outlineLevel="0" collapsed="false">
      <c r="A18" s="30" t="s">
        <v>45</v>
      </c>
      <c r="B18" s="26" t="n">
        <v>0.027205</v>
      </c>
      <c r="C18" s="1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0.5</v>
      </c>
      <c r="I18" s="4" t="n">
        <v>1</v>
      </c>
      <c r="J18" s="4" t="n">
        <v>1</v>
      </c>
      <c r="K18" s="4" t="n">
        <v>0.5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0.696532323485309</v>
      </c>
      <c r="R18" s="3" t="n">
        <v>0.26</v>
      </c>
      <c r="S18" s="2" t="n">
        <v>1149.585506</v>
      </c>
      <c r="T18" s="2" t="n">
        <f aca="false">Q18*S18</f>
        <v>800.723463539215</v>
      </c>
      <c r="U18" s="5" t="n">
        <f aca="false">AVERAGE(Q18, R18)</f>
        <v>0.478266161742655</v>
      </c>
      <c r="V18" s="4" t="n">
        <f aca="false">D18*E18*F18*G18*H18*I18*J18*K18*L18*M18*N18*O18*P18*1000</f>
        <v>62.1875</v>
      </c>
      <c r="X18" s="4" t="n">
        <f aca="false">V18*Q18*R18</f>
        <v>11.2620570053531</v>
      </c>
      <c r="Y18" s="3" t="n">
        <f aca="false">R18/Q18</f>
        <v>0.37327772342138</v>
      </c>
    </row>
    <row r="19" customFormat="false" ht="15" hidden="false" customHeight="true" outlineLevel="0" collapsed="false">
      <c r="A19" s="20" t="s">
        <v>38</v>
      </c>
      <c r="B19" s="26" t="n">
        <v>2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0.5</v>
      </c>
      <c r="I19" s="4" t="n">
        <v>1</v>
      </c>
      <c r="J19" s="4" t="n">
        <v>1</v>
      </c>
      <c r="K19" s="4" t="n">
        <v>0.5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0.696532323485309</v>
      </c>
      <c r="R19" s="3" t="n">
        <v>0.251</v>
      </c>
      <c r="S19" s="2" t="n">
        <v>1143.952637</v>
      </c>
      <c r="T19" s="2" t="n">
        <f aca="false">Q19*S19</f>
        <v>796.799988206756</v>
      </c>
      <c r="U19" s="5" t="n">
        <f aca="false">AVERAGE(Q19, R19)</f>
        <v>0.473766161742655</v>
      </c>
      <c r="V19" s="4" t="n">
        <f aca="false">D19*E19*F19*G19*H19*I19*J19*K19*L19*M19*N19*O19*P19*1000</f>
        <v>62.1875</v>
      </c>
      <c r="W19" s="2" t="n">
        <v>554</v>
      </c>
      <c r="X19" s="4" t="n">
        <f aca="false">V19*Q19*R19</f>
        <v>10.8722165705524</v>
      </c>
      <c r="Y19" s="3" t="n">
        <f aca="false">R19/Q19</f>
        <v>0.360356571456793</v>
      </c>
    </row>
    <row r="20" customFormat="false" ht="15" hidden="false" customHeight="true" outlineLevel="0" collapsed="false">
      <c r="A20" s="20" t="s">
        <v>49</v>
      </c>
      <c r="B20" s="23" t="n">
        <v>1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1</v>
      </c>
      <c r="L20" s="4" t="n">
        <v>1</v>
      </c>
      <c r="M20" s="4" t="n">
        <v>1</v>
      </c>
      <c r="N20" s="4" t="n">
        <v>0.5</v>
      </c>
      <c r="O20" s="4" t="n">
        <v>1</v>
      </c>
      <c r="P20" s="4" t="n">
        <v>0</v>
      </c>
      <c r="Q20" s="3" t="n">
        <v>0.485233400640554</v>
      </c>
      <c r="R20" s="3" t="n">
        <v>0.313</v>
      </c>
      <c r="S20" s="2" t="n">
        <v>1251.429</v>
      </c>
      <c r="T20" s="2" t="n">
        <f aca="false">Q20*S20</f>
        <v>607.235149330208</v>
      </c>
      <c r="U20" s="5" t="n">
        <f aca="false">AVERAGE(Q20, R20)</f>
        <v>0.399116700320277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0.645050401697019</v>
      </c>
    </row>
    <row r="21" customFormat="false" ht="15" hidden="false" customHeight="true" outlineLevel="0" collapsed="false">
      <c r="A21" s="24" t="s">
        <v>40</v>
      </c>
      <c r="B21" s="2" t="n">
        <v>0.018995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0.5</v>
      </c>
      <c r="L21" s="4" t="n">
        <v>1</v>
      </c>
      <c r="M21" s="4" t="n">
        <v>0.5</v>
      </c>
      <c r="N21" s="4" t="n">
        <v>0.5</v>
      </c>
      <c r="O21" s="4" t="n">
        <v>0</v>
      </c>
      <c r="P21" s="4" t="n">
        <v>0</v>
      </c>
      <c r="Q21" s="3" t="n">
        <v>0.211354517282616</v>
      </c>
      <c r="R21" s="3" t="n">
        <v>0.15</v>
      </c>
      <c r="S21" s="2" t="n">
        <v>998.411</v>
      </c>
      <c r="T21" s="2" t="n">
        <f aca="false">Q21*S21</f>
        <v>211.018674954654</v>
      </c>
      <c r="U21" s="5" t="n">
        <f aca="false">AVERAGE(Q21, R21)</f>
        <v>0.180677258641308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0.709708039026321</v>
      </c>
    </row>
    <row r="22" customFormat="false" ht="15" hidden="false" customHeight="true" outlineLevel="0" collapsed="false">
      <c r="A22" s="24" t="s">
        <v>41</v>
      </c>
      <c r="B22" s="2" t="n">
        <v>0.018061</v>
      </c>
      <c r="C22" s="1" t="n">
        <v>0</v>
      </c>
      <c r="D22" s="3" t="n">
        <v>0.995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0.5</v>
      </c>
      <c r="J22" s="4" t="n">
        <v>1</v>
      </c>
      <c r="K22" s="4" t="n">
        <v>0</v>
      </c>
      <c r="L22" s="4" t="n">
        <v>0.5</v>
      </c>
      <c r="M22" s="4" t="n">
        <v>0</v>
      </c>
      <c r="N22" s="4" t="n">
        <v>0</v>
      </c>
      <c r="O22" s="4" t="n">
        <v>0</v>
      </c>
      <c r="P22" s="4" t="n">
        <v>0</v>
      </c>
      <c r="Q22" s="3" t="n">
        <v>0.0866669481949934</v>
      </c>
      <c r="R22" s="3" t="n">
        <v>0.179</v>
      </c>
      <c r="S22" s="2" t="n">
        <v>983.426</v>
      </c>
      <c r="T22" s="2" t="n">
        <f aca="false">Q22*S22</f>
        <v>85.2305301956096</v>
      </c>
      <c r="U22" s="5" t="n">
        <f aca="false">AVERAGE(Q22, R22)</f>
        <v>0.132833474097497</v>
      </c>
      <c r="V22" s="4" t="n">
        <f aca="false">D22*E22*F22*G22*H22*I22*J22*K22*L22*M22*N22*O22*P22*1000</f>
        <v>0</v>
      </c>
      <c r="X22" s="4" t="n">
        <f aca="false">V22*Q22*R22</f>
        <v>0</v>
      </c>
      <c r="Y22" s="3" t="n">
        <f aca="false">R22/Q22</f>
        <v>2.06537790620324</v>
      </c>
    </row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3.8" hidden="false" customHeight="false" outlineLevel="0" collapsed="false"/>
  </sheetData>
  <autoFilter ref="A2:Y22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20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1" activeCellId="0" sqref="B2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27</v>
      </c>
      <c r="B3" s="26" t="n">
        <v>3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4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47</v>
      </c>
      <c r="B5" s="26" t="n">
        <v>0.023587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0.456</v>
      </c>
      <c r="S5" s="2" t="n">
        <v>1212.047579</v>
      </c>
      <c r="T5" s="2" t="n">
        <f aca="false">Q5*S5</f>
        <v>1176.85706866667</v>
      </c>
      <c r="U5" s="5" t="n">
        <f aca="false">AVERAGE(Q5, R5)</f>
        <v>0.713483032620567</v>
      </c>
      <c r="V5" s="4" t="n">
        <f aca="false">D5*E5*F5*G5*H5*I5*J5*K5*L5*M5*N5*O5*P5*1000</f>
        <v>250</v>
      </c>
      <c r="X5" s="4" t="n">
        <f aca="false">V5*Q5*R5</f>
        <v>110.690131437489</v>
      </c>
      <c r="Y5" s="3" t="n">
        <f aca="false">R5/Q5</f>
        <v>0.469635362474543</v>
      </c>
    </row>
    <row r="6" customFormat="false" ht="15" hidden="false" customHeight="true" outlineLevel="0" collapsed="false">
      <c r="A6" s="20" t="s">
        <v>29</v>
      </c>
      <c r="B6" s="26" t="n">
        <v>0.023772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0.425</v>
      </c>
      <c r="S6" s="2" t="n">
        <v>1185.922536</v>
      </c>
      <c r="T6" s="2" t="n">
        <f aca="false">Q6*S6</f>
        <v>1151.49053846071</v>
      </c>
      <c r="U6" s="5" t="n">
        <f aca="false">AVERAGE(Q6, R6)</f>
        <v>0.697983032620567</v>
      </c>
      <c r="V6" s="4" t="n">
        <f aca="false">D6*E6*F6*G6*H6*I6*J6*K6*L6*M6*N6*O6*P6*1000</f>
        <v>250</v>
      </c>
      <c r="X6" s="4" t="n">
        <f aca="false">V6*Q6*R6</f>
        <v>103.16514443187</v>
      </c>
      <c r="Y6" s="3" t="n">
        <f aca="false">R6/Q6</f>
        <v>0.437708397043159</v>
      </c>
    </row>
    <row r="7" customFormat="false" ht="15" hidden="false" customHeight="true" outlineLevel="0" collapsed="false">
      <c r="A7" s="20" t="s">
        <v>44</v>
      </c>
      <c r="B7" s="26" t="n">
        <v>0.024198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0.46</v>
      </c>
      <c r="S7" s="2" t="n">
        <v>1226.70497</v>
      </c>
      <c r="T7" s="2" t="n">
        <f aca="false">Q7*S7</f>
        <v>1191.08889793264</v>
      </c>
      <c r="U7" s="5" t="n">
        <f aca="false">AVERAGE(Q7, R7)</f>
        <v>0.715483032620567</v>
      </c>
      <c r="V7" s="4" t="n">
        <f aca="false">D7*E7*F7*G7*H7*I7*J7*K7*L7*M7*N7*O7*P7*1000</f>
        <v>250</v>
      </c>
      <c r="X7" s="4" t="n">
        <f aca="false">V7*Q7*R7</f>
        <v>111.66109750273</v>
      </c>
      <c r="Y7" s="3" t="n">
        <f aca="false">R7/Q7</f>
        <v>0.473754970917302</v>
      </c>
    </row>
    <row r="8" customFormat="false" ht="15" hidden="false" customHeight="true" outlineLevel="0" collapsed="false">
      <c r="A8" s="25" t="s">
        <v>51</v>
      </c>
      <c r="B8" s="26" t="n">
        <v>6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5" t="s">
        <v>30</v>
      </c>
      <c r="B9" s="26" t="n">
        <v>5</v>
      </c>
      <c r="C9" s="24" t="n">
        <v>1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0.472</v>
      </c>
      <c r="S9" s="2" t="n">
        <v>1251.935991</v>
      </c>
      <c r="T9" s="2" t="n">
        <f aca="false">Q9*S9</f>
        <v>1215.55198228034</v>
      </c>
      <c r="U9" s="5" t="n">
        <f aca="false">AVERAGE(Q9, R9)</f>
        <v>0.72146890217183</v>
      </c>
      <c r="V9" s="4" t="n">
        <f aca="false">D9*E9*F9*G9*H9*I9*J9*K9*L9*M9*N9*O9*P9*1000</f>
        <v>248.75</v>
      </c>
      <c r="W9" s="2" t="n">
        <v>695</v>
      </c>
      <c r="X9" s="4" t="n">
        <f aca="false">V9*Q9*R9</f>
        <v>113.997807607989</v>
      </c>
      <c r="Y9" s="3" t="n">
        <f aca="false">R9/Q9</f>
        <v>0.486127945465122</v>
      </c>
    </row>
    <row r="10" customFormat="false" ht="15" hidden="false" customHeight="true" outlineLevel="0" collapsed="false">
      <c r="A10" s="20" t="s">
        <v>50</v>
      </c>
      <c r="B10" s="26" t="n">
        <v>1</v>
      </c>
      <c r="C10" s="28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1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0" t="s">
        <v>31</v>
      </c>
      <c r="B11" s="26" t="n">
        <v>0.023025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0.970937804343659</v>
      </c>
      <c r="R11" s="3" t="n">
        <v>0.47</v>
      </c>
      <c r="S11" s="2" t="n">
        <v>1267.273</v>
      </c>
      <c r="T11" s="2" t="n">
        <f aca="false">Q11*S11</f>
        <v>1230.443264124</v>
      </c>
      <c r="U11" s="5" t="n">
        <f aca="false">AVERAGE(Q11, R11)</f>
        <v>0.72046890217183</v>
      </c>
      <c r="V11" s="4" t="n">
        <f aca="false">D11*E11*F11*G11*H11*I11*J11*K11*L11*M11*N11*O11*P11*1000</f>
        <v>248.75</v>
      </c>
    </row>
    <row r="12" customFormat="false" ht="15" hidden="false" customHeight="true" outlineLevel="0" collapsed="false">
      <c r="A12" s="20" t="s">
        <v>46</v>
      </c>
      <c r="B12" s="26" t="n">
        <v>0.023297</v>
      </c>
      <c r="C12" s="24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0.970909543446185</v>
      </c>
      <c r="R12" s="3" t="n">
        <v>0.455</v>
      </c>
      <c r="S12" s="2" t="n">
        <v>1216.735306</v>
      </c>
      <c r="T12" s="2" t="n">
        <f aca="false">Q12*S12</f>
        <v>1181.33992044331</v>
      </c>
      <c r="U12" s="5" t="n">
        <f aca="false">AVERAGE(Q12, R12)</f>
        <v>0.712954771723093</v>
      </c>
      <c r="V12" s="4" t="n">
        <f aca="false">D12*E12*F12*G12*H12*I12*J12*K12*L12*M12*N12*O12*P12*1000</f>
        <v>247.5</v>
      </c>
      <c r="X12" s="4" t="n">
        <f aca="false">V12*Q12*R12</f>
        <v>109.336550961334</v>
      </c>
      <c r="Y12" s="3" t="n">
        <f aca="false">R12/Q12</f>
        <v>0.468632740373532</v>
      </c>
    </row>
    <row r="13" customFormat="false" ht="15" hidden="false" customHeight="true" outlineLevel="0" collapsed="false">
      <c r="A13" s="20" t="s">
        <v>48</v>
      </c>
      <c r="B13" s="26" t="n">
        <v>0.026569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0.967009539594811</v>
      </c>
      <c r="R13" s="3" t="n">
        <v>0.441</v>
      </c>
      <c r="S13" s="2" t="n">
        <v>1172.064</v>
      </c>
      <c r="T13" s="2" t="n">
        <f aca="false">Q13*S13</f>
        <v>1133.39706901565</v>
      </c>
      <c r="U13" s="5" t="n">
        <f aca="false">AVERAGE(Q13, R13)</f>
        <v>0.704004769797405</v>
      </c>
      <c r="V13" s="4" t="n">
        <f aca="false">D13*E13*F13*G13*H13*I13*J13*K13*L13*M13*N13*O13*P13*1000</f>
        <v>125</v>
      </c>
      <c r="X13" s="4" t="n">
        <f aca="false">V13*Q13*R13</f>
        <v>53.306400870164</v>
      </c>
      <c r="Y13" s="3" t="n">
        <f aca="false">R13/Q13</f>
        <v>0.45604513910461</v>
      </c>
    </row>
    <row r="14" customFormat="false" ht="15" hidden="false" customHeight="true" outlineLevel="0" collapsed="false">
      <c r="A14" s="20" t="s">
        <v>32</v>
      </c>
      <c r="B14" s="26" t="n">
        <v>3</v>
      </c>
      <c r="C14" s="1" t="n">
        <v>0</v>
      </c>
      <c r="D14" s="3" t="n">
        <v>0.995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0.5</v>
      </c>
      <c r="M14" s="4" t="n">
        <v>1</v>
      </c>
      <c r="N14" s="4" t="n">
        <v>1</v>
      </c>
      <c r="O14" s="4" t="n">
        <v>1</v>
      </c>
      <c r="P14" s="4" t="n">
        <v>1</v>
      </c>
      <c r="Q14" s="3" t="n">
        <v>0.966981278697337</v>
      </c>
      <c r="R14" s="3" t="n">
        <v>0.331</v>
      </c>
      <c r="S14" s="2" t="n">
        <v>1143.593</v>
      </c>
      <c r="T14" s="2" t="n">
        <f aca="false">Q14*S14</f>
        <v>1105.83302144932</v>
      </c>
      <c r="U14" s="5" t="n">
        <f aca="false">AVERAGE(Q14, R14)</f>
        <v>0.648990639348669</v>
      </c>
      <c r="V14" s="4" t="n">
        <f aca="false">D14*E14*F14*G14*H14*I14*J14*K14*L14*M14*N14*O14*P14*1000</f>
        <v>124.375</v>
      </c>
      <c r="W14" s="2" t="n">
        <v>625</v>
      </c>
      <c r="X14" s="4" t="n">
        <f aca="false">V14*Q14*R14</f>
        <v>39.8088061540718</v>
      </c>
      <c r="Y14" s="3" t="n">
        <f aca="false">R14/Q14</f>
        <v>0.342302387121605</v>
      </c>
    </row>
    <row r="15" customFormat="false" ht="13.8" hidden="false" customHeight="false" outlineLevel="0" collapsed="false">
      <c r="A15" s="20" t="s">
        <v>33</v>
      </c>
      <c r="B15" s="26" t="n">
        <v>0.024172</v>
      </c>
      <c r="C15" s="1" t="n">
        <v>0</v>
      </c>
      <c r="D15" s="3" t="n">
        <v>0.99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0.5</v>
      </c>
      <c r="J15" s="4" t="n">
        <v>1</v>
      </c>
      <c r="K15" s="4" t="n">
        <v>0.5</v>
      </c>
      <c r="L15" s="4" t="n">
        <v>0.5</v>
      </c>
      <c r="M15" s="4" t="n">
        <v>0.5</v>
      </c>
      <c r="N15" s="4" t="n">
        <v>1</v>
      </c>
      <c r="O15" s="4" t="n">
        <v>1</v>
      </c>
      <c r="P15" s="4" t="n">
        <v>1</v>
      </c>
      <c r="Q15" s="3" t="n">
        <v>0.925919352234368</v>
      </c>
      <c r="R15" s="3" t="n">
        <v>0.424</v>
      </c>
      <c r="S15" s="2" t="n">
        <v>1111.470511</v>
      </c>
      <c r="T15" s="2" t="n">
        <f aca="false">Q15*S15</f>
        <v>1029.13205557272</v>
      </c>
      <c r="U15" s="5" t="n">
        <f aca="false">AVERAGE(Q15, R15)</f>
        <v>0.674959676117184</v>
      </c>
      <c r="V15" s="4" t="n">
        <f aca="false">D15*E15*F15*G15*H15*I15*J15*K15*L15*M15*N15*O15*P15*1000</f>
        <v>61.875</v>
      </c>
      <c r="X15" s="4" t="n">
        <f aca="false">V15*Q15*R15</f>
        <v>24.2914942058686</v>
      </c>
      <c r="Y15" s="3" t="n">
        <f aca="false">R15/Q15</f>
        <v>0.457923251065906</v>
      </c>
    </row>
    <row r="16" customFormat="false" ht="15" hidden="false" customHeight="true" outlineLevel="0" collapsed="false">
      <c r="A16" s="20" t="s">
        <v>34</v>
      </c>
      <c r="B16" s="26" t="n">
        <v>0.023905</v>
      </c>
      <c r="C16" s="1" t="n">
        <v>0</v>
      </c>
      <c r="D16" s="3" t="n">
        <v>1</v>
      </c>
      <c r="E16" s="4" t="n">
        <v>1</v>
      </c>
      <c r="F16" s="4" t="n">
        <v>1</v>
      </c>
      <c r="G16" s="4" t="n">
        <v>0.5</v>
      </c>
      <c r="H16" s="4" t="n">
        <v>1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0.713342583564223</v>
      </c>
      <c r="R16" s="3" t="n">
        <v>0.264</v>
      </c>
      <c r="S16" s="2" t="n">
        <v>1104.547427</v>
      </c>
      <c r="T16" s="2" t="n">
        <f aca="false">Q16*S16</f>
        <v>787.920715245395</v>
      </c>
      <c r="U16" s="5" t="n">
        <f aca="false">AVERAGE(Q16, R16)</f>
        <v>0.488671291782112</v>
      </c>
      <c r="V16" s="4" t="n">
        <f aca="false">D16*E16*F16*G16*H16*I16*J16*K16*L16*M16*N16*O16*P16*1000</f>
        <v>125</v>
      </c>
      <c r="W16" s="2" t="n">
        <v>478</v>
      </c>
      <c r="X16" s="4" t="n">
        <f aca="false">V16*Q16*R16</f>
        <v>23.5403052576194</v>
      </c>
      <c r="Y16" s="3" t="n">
        <f aca="false">R16/Q16</f>
        <v>0.370088658777276</v>
      </c>
    </row>
    <row r="17" customFormat="false" ht="15" hidden="false" customHeight="true" outlineLevel="0" collapsed="false">
      <c r="A17" s="27" t="s">
        <v>37</v>
      </c>
      <c r="B17" s="26" t="n">
        <v>0.024989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0.70207145939016</v>
      </c>
      <c r="R17" s="3" t="n">
        <v>0.274</v>
      </c>
      <c r="S17" s="2" t="n">
        <v>1188.985</v>
      </c>
      <c r="T17" s="2" t="n">
        <f aca="false">Q17*S17</f>
        <v>834.752434143009</v>
      </c>
      <c r="U17" s="5" t="n">
        <f aca="false">AVERAGE(Q17, R17)</f>
        <v>0.48803572969508</v>
      </c>
      <c r="V17" s="4" t="n">
        <f aca="false">D17*E17*F17*G17*H17*I17*J17*K17*L17*M17*N17*O17*P17*1000</f>
        <v>124.375</v>
      </c>
      <c r="X17" s="4" t="n">
        <f aca="false">V17*Q17*R17</f>
        <v>23.9257177466924</v>
      </c>
      <c r="Y17" s="3" t="n">
        <f aca="false">R17/Q17</f>
        <v>0.390273662794959</v>
      </c>
    </row>
    <row r="18" customFormat="false" ht="15" hidden="false" customHeight="true" outlineLevel="0" collapsed="false">
      <c r="A18" s="20" t="s">
        <v>38</v>
      </c>
      <c r="B18" s="26" t="n">
        <v>2</v>
      </c>
      <c r="C18" s="1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0.5</v>
      </c>
      <c r="I18" s="4" t="n">
        <v>1</v>
      </c>
      <c r="J18" s="4" t="n">
        <v>1</v>
      </c>
      <c r="K18" s="4" t="n">
        <v>0.5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0.696532323485309</v>
      </c>
      <c r="R18" s="3" t="n">
        <v>0.251</v>
      </c>
      <c r="S18" s="2" t="n">
        <v>1143.952637</v>
      </c>
      <c r="T18" s="2" t="n">
        <f aca="false">Q18*S18</f>
        <v>796.799988206756</v>
      </c>
      <c r="U18" s="5" t="n">
        <f aca="false">AVERAGE(Q18, R18)</f>
        <v>0.473766161742655</v>
      </c>
      <c r="V18" s="4" t="n">
        <f aca="false">D18*E18*F18*G18*H18*I18*J18*K18*L18*M18*N18*O18*P18*1000</f>
        <v>62.1875</v>
      </c>
      <c r="W18" s="2" t="n">
        <v>554</v>
      </c>
      <c r="X18" s="4" t="n">
        <f aca="false">V18*Q18*R18</f>
        <v>10.8722165705524</v>
      </c>
      <c r="Y18" s="3" t="n">
        <f aca="false">R18/Q18</f>
        <v>0.360356571456793</v>
      </c>
    </row>
    <row r="19" customFormat="false" ht="15" hidden="false" customHeight="true" outlineLevel="0" collapsed="false">
      <c r="A19" s="30" t="s">
        <v>45</v>
      </c>
      <c r="B19" s="26" t="n">
        <v>0.027205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0.5</v>
      </c>
      <c r="I19" s="4" t="n">
        <v>1</v>
      </c>
      <c r="J19" s="4" t="n">
        <v>1</v>
      </c>
      <c r="K19" s="4" t="n">
        <v>0.5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0.696532323485309</v>
      </c>
      <c r="R19" s="3" t="n">
        <v>0.26</v>
      </c>
      <c r="S19" s="2" t="n">
        <v>1149.585506</v>
      </c>
      <c r="T19" s="2" t="n">
        <f aca="false">Q19*S19</f>
        <v>800.723463539215</v>
      </c>
      <c r="U19" s="5" t="n">
        <f aca="false">AVERAGE(Q19, R19)</f>
        <v>0.478266161742655</v>
      </c>
      <c r="V19" s="4" t="n">
        <f aca="false">D19*E19*F19*G19*H19*I19*J19*K19*L19*M19*N19*O19*P19*1000</f>
        <v>62.1875</v>
      </c>
      <c r="X19" s="4" t="n">
        <f aca="false">V19*Q19*R19</f>
        <v>11.2620570053531</v>
      </c>
      <c r="Y19" s="3" t="n">
        <f aca="false">R19/Q19</f>
        <v>0.37327772342138</v>
      </c>
    </row>
    <row r="20" customFormat="false" ht="15" hidden="false" customHeight="true" outlineLevel="0" collapsed="false">
      <c r="A20" s="29" t="s">
        <v>52</v>
      </c>
      <c r="B20" s="26" t="n">
        <v>0.023352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1</v>
      </c>
      <c r="L20" s="4" t="n">
        <v>1</v>
      </c>
      <c r="M20" s="4" t="n">
        <v>0.5</v>
      </c>
      <c r="N20" s="4" t="n">
        <v>0.5</v>
      </c>
      <c r="O20" s="4" t="n">
        <v>0.5</v>
      </c>
      <c r="P20" s="4" t="n">
        <v>0.5</v>
      </c>
      <c r="Q20" s="3" t="n">
        <v>0.565309170581787</v>
      </c>
      <c r="R20" s="3" t="n">
        <v>0.25</v>
      </c>
      <c r="S20" s="2" t="n">
        <v>1128.957</v>
      </c>
      <c r="T20" s="2" t="n">
        <f aca="false">Q20*S20</f>
        <v>638.209745292503</v>
      </c>
      <c r="U20" s="5" t="n">
        <f aca="false">AVERAGE(Q20, R20)</f>
        <v>0.407654585290894</v>
      </c>
      <c r="V20" s="4" t="n">
        <f aca="false">D20*E20*F20*G20*H20*I20*J20*K20*L20*M20*N20*O20*P20*1000</f>
        <v>31.25</v>
      </c>
      <c r="W20" s="2" t="n">
        <v>693</v>
      </c>
      <c r="X20" s="4" t="n">
        <f aca="false">V20*Q20*R20</f>
        <v>4.41647789517021</v>
      </c>
      <c r="Y20" s="3" t="n">
        <f aca="false">R20/Q20</f>
        <v>0.442235882610418</v>
      </c>
    </row>
    <row r="21" customFormat="false" ht="15" hidden="false" customHeight="true" outlineLevel="0" collapsed="false">
      <c r="A21" s="20" t="s">
        <v>49</v>
      </c>
      <c r="B21" s="23" t="n">
        <v>1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1</v>
      </c>
      <c r="L21" s="4" t="n">
        <v>1</v>
      </c>
      <c r="M21" s="4" t="n">
        <v>1</v>
      </c>
      <c r="N21" s="4" t="n">
        <v>0.5</v>
      </c>
      <c r="O21" s="4" t="n">
        <v>1</v>
      </c>
      <c r="P21" s="4" t="n">
        <v>0</v>
      </c>
      <c r="Q21" s="3" t="n">
        <v>0.485233400640554</v>
      </c>
      <c r="R21" s="3" t="n">
        <v>0.313</v>
      </c>
      <c r="S21" s="2" t="n">
        <v>1251.429</v>
      </c>
      <c r="T21" s="2" t="n">
        <f aca="false">Q21*S21</f>
        <v>607.235149330208</v>
      </c>
      <c r="U21" s="5" t="n">
        <f aca="false">AVERAGE(Q21, R21)</f>
        <v>0.399116700320277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0.645050401697019</v>
      </c>
    </row>
    <row r="22" customFormat="false" ht="15" hidden="false" customHeight="true" outlineLevel="0" collapsed="false">
      <c r="A22" s="29" t="s">
        <v>53</v>
      </c>
      <c r="B22" s="26" t="n">
        <v>0.022797</v>
      </c>
      <c r="C22" s="1" t="n">
        <v>0</v>
      </c>
      <c r="D22" s="3" t="n">
        <v>1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0.5</v>
      </c>
      <c r="J22" s="4" t="n">
        <v>1</v>
      </c>
      <c r="K22" s="4" t="n">
        <v>1</v>
      </c>
      <c r="L22" s="4" t="n">
        <v>1</v>
      </c>
      <c r="M22" s="4" t="n">
        <v>1</v>
      </c>
      <c r="N22" s="4" t="n">
        <v>0.5</v>
      </c>
      <c r="O22" s="4" t="n">
        <v>1</v>
      </c>
      <c r="P22" s="4" t="n">
        <v>0</v>
      </c>
      <c r="Q22" s="3" t="n">
        <v>0.485233400640554</v>
      </c>
      <c r="R22" s="3" t="n">
        <v>0.307</v>
      </c>
      <c r="S22" s="2" t="n">
        <v>1248.623</v>
      </c>
      <c r="T22" s="2" t="n">
        <f aca="false">Q22*S22</f>
        <v>605.87358440801</v>
      </c>
      <c r="U22" s="5" t="n">
        <f aca="false">AVERAGE(Q22, R22)</f>
        <v>0.396116700320277</v>
      </c>
      <c r="V22" s="4" t="n">
        <f aca="false">D22*E22*F22*G22*H22*I22*J22*K22*L22*M22*N22*O22*P22*1000</f>
        <v>0</v>
      </c>
      <c r="X22" s="4" t="n">
        <f aca="false">V22*Q22*R22</f>
        <v>0</v>
      </c>
      <c r="Y22" s="3" t="n">
        <f aca="false">R22/Q22</f>
        <v>0.632685218277907</v>
      </c>
    </row>
    <row r="23" customFormat="false" ht="15" hidden="false" customHeight="true" outlineLevel="0" collapsed="false">
      <c r="A23" s="24" t="s">
        <v>40</v>
      </c>
      <c r="B23" s="2" t="n">
        <v>0.018995</v>
      </c>
      <c r="C23" s="1" t="n">
        <v>0</v>
      </c>
      <c r="D23" s="3" t="n">
        <v>1</v>
      </c>
      <c r="E23" s="4" t="n">
        <v>1</v>
      </c>
      <c r="F23" s="4" t="n">
        <v>1</v>
      </c>
      <c r="G23" s="4" t="n">
        <v>1</v>
      </c>
      <c r="H23" s="4" t="n">
        <v>1</v>
      </c>
      <c r="I23" s="4" t="n">
        <v>0.5</v>
      </c>
      <c r="J23" s="4" t="n">
        <v>1</v>
      </c>
      <c r="K23" s="4" t="n">
        <v>0.5</v>
      </c>
      <c r="L23" s="4" t="n">
        <v>1</v>
      </c>
      <c r="M23" s="4" t="n">
        <v>0.5</v>
      </c>
      <c r="N23" s="4" t="n">
        <v>0.5</v>
      </c>
      <c r="O23" s="4" t="n">
        <v>0</v>
      </c>
      <c r="P23" s="4" t="n">
        <v>0</v>
      </c>
      <c r="Q23" s="3" t="n">
        <v>0.211354517282616</v>
      </c>
      <c r="R23" s="3" t="n">
        <v>0.15</v>
      </c>
      <c r="S23" s="2" t="n">
        <v>998.411</v>
      </c>
      <c r="T23" s="2" t="n">
        <f aca="false">Q23*S23</f>
        <v>211.018674954654</v>
      </c>
      <c r="U23" s="5" t="n">
        <f aca="false">AVERAGE(Q23, R23)</f>
        <v>0.180677258641308</v>
      </c>
      <c r="V23" s="4" t="n">
        <f aca="false">D23*E23*F23*G23*H23*I23*J23*K23*L23*M23*N23*O23*P23*1000</f>
        <v>0</v>
      </c>
      <c r="X23" s="4" t="n">
        <f aca="false">V23*Q23*R23</f>
        <v>0</v>
      </c>
      <c r="Y23" s="3" t="n">
        <f aca="false">R23/Q23</f>
        <v>0.709708039026321</v>
      </c>
    </row>
    <row r="24" customFormat="false" ht="15" hidden="false" customHeight="true" outlineLevel="0" collapsed="false">
      <c r="A24" s="24" t="s">
        <v>41</v>
      </c>
      <c r="B24" s="2" t="n">
        <v>0.018061</v>
      </c>
      <c r="C24" s="1" t="n">
        <v>0</v>
      </c>
      <c r="D24" s="3" t="n">
        <v>0.995</v>
      </c>
      <c r="E24" s="4" t="n">
        <v>1</v>
      </c>
      <c r="F24" s="4" t="n">
        <v>1</v>
      </c>
      <c r="G24" s="4" t="n">
        <v>1</v>
      </c>
      <c r="H24" s="4" t="n">
        <v>1</v>
      </c>
      <c r="I24" s="4" t="n">
        <v>0.5</v>
      </c>
      <c r="J24" s="4" t="n">
        <v>1</v>
      </c>
      <c r="K24" s="4" t="n">
        <v>0</v>
      </c>
      <c r="L24" s="4" t="n">
        <v>0.5</v>
      </c>
      <c r="M24" s="4" t="n">
        <v>0</v>
      </c>
      <c r="N24" s="4" t="n">
        <v>0</v>
      </c>
      <c r="O24" s="4" t="n">
        <v>0</v>
      </c>
      <c r="P24" s="4" t="n">
        <v>0</v>
      </c>
      <c r="Q24" s="3" t="n">
        <v>0.0866669481949934</v>
      </c>
      <c r="R24" s="3" t="n">
        <v>0.179</v>
      </c>
      <c r="S24" s="2" t="n">
        <v>983.426</v>
      </c>
      <c r="T24" s="2" t="n">
        <f aca="false">Q24*S24</f>
        <v>85.2305301956096</v>
      </c>
      <c r="U24" s="5" t="n">
        <f aca="false">AVERAGE(Q24, R24)</f>
        <v>0.132833474097497</v>
      </c>
      <c r="V24" s="4" t="n">
        <f aca="false">D24*E24*F24*G24*H24*I24*J24*K24*L24*M24*N24*O24*P24*1000</f>
        <v>0</v>
      </c>
      <c r="X24" s="4" t="n">
        <f aca="false">V24*Q24*R24</f>
        <v>0</v>
      </c>
      <c r="Y24" s="3" t="n">
        <f aca="false">R24/Q24</f>
        <v>2.06537790620324</v>
      </c>
    </row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3.8" hidden="false" customHeight="false" outlineLevel="0" collapsed="false"/>
  </sheetData>
  <autoFilter ref="A2:Y24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21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1" activeCellId="0" sqref="A1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27</v>
      </c>
      <c r="B3" s="23" t="n">
        <v>3</v>
      </c>
      <c r="C3" s="24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3" t="n">
        <v>3</v>
      </c>
      <c r="C4" s="24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9" t="s">
        <v>54</v>
      </c>
      <c r="B5" s="23" t="n">
        <v>3</v>
      </c>
      <c r="C5" s="24" t="n">
        <v>1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0.424</v>
      </c>
      <c r="S5" s="2" t="n">
        <v>1157.920275</v>
      </c>
      <c r="T5" s="2" t="n">
        <f aca="false">Q5*S5</f>
        <v>1124.30129327968</v>
      </c>
      <c r="U5" s="5" t="n">
        <f aca="false">AVERAGE(Q5, R5)</f>
        <v>0.697483032620567</v>
      </c>
      <c r="V5" s="4" t="n">
        <f aca="false">D5*E5*F5*G5*H5*I5*J5*K5*L5*M5*N5*O5*P5*1000</f>
        <v>250</v>
      </c>
      <c r="W5" s="2" t="n">
        <v>473</v>
      </c>
      <c r="X5" s="4" t="n">
        <f aca="false">V5*Q5*R5</f>
        <v>102.92240291556</v>
      </c>
      <c r="Y5" s="3" t="n">
        <f aca="false">R5/Q5</f>
        <v>0.43667849493247</v>
      </c>
    </row>
    <row r="6" customFormat="false" ht="15" hidden="false" customHeight="true" outlineLevel="0" collapsed="false">
      <c r="A6" s="20" t="s">
        <v>47</v>
      </c>
      <c r="B6" s="2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29</v>
      </c>
      <c r="B7" s="2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51</v>
      </c>
      <c r="B8" s="23" t="n">
        <v>6</v>
      </c>
      <c r="C8" s="24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5" t="s">
        <v>30</v>
      </c>
      <c r="B9" s="26" t="n">
        <v>5</v>
      </c>
      <c r="C9" s="24" t="n">
        <v>1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0.472</v>
      </c>
      <c r="S9" s="2" t="n">
        <v>1251.935991</v>
      </c>
      <c r="T9" s="2" t="n">
        <f aca="false">Q9*S9</f>
        <v>1215.55198228034</v>
      </c>
      <c r="U9" s="5" t="n">
        <f aca="false">AVERAGE(Q9, R9)</f>
        <v>0.72146890217183</v>
      </c>
      <c r="V9" s="4" t="n">
        <f aca="false">D9*E9*F9*G9*H9*I9*J9*K9*L9*M9*N9*O9*P9*1000</f>
        <v>248.75</v>
      </c>
      <c r="W9" s="2" t="n">
        <v>695</v>
      </c>
      <c r="X9" s="4" t="n">
        <f aca="false">V9*Q9*R9</f>
        <v>113.997807607989</v>
      </c>
      <c r="Y9" s="3" t="n">
        <f aca="false">R9/Q9</f>
        <v>0.486127945465122</v>
      </c>
    </row>
    <row r="10" customFormat="false" ht="15" hidden="false" customHeight="true" outlineLevel="0" collapsed="false">
      <c r="A10" s="20" t="s">
        <v>50</v>
      </c>
      <c r="B10" s="23" t="n">
        <v>1</v>
      </c>
      <c r="C10" s="28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1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9" t="s">
        <v>55</v>
      </c>
      <c r="B11" s="26" t="n">
        <v>1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0.970937804343659</v>
      </c>
      <c r="R11" s="3" t="n">
        <v>0.39</v>
      </c>
      <c r="S11" s="2" t="n">
        <v>1178.042593</v>
      </c>
      <c r="T11" s="2" t="n">
        <f aca="false">Q11*S11</f>
        <v>1143.80608867073</v>
      </c>
      <c r="U11" s="5" t="n">
        <f aca="false">AVERAGE(Q11, R11)</f>
        <v>0.68046890217183</v>
      </c>
      <c r="V11" s="4" t="n">
        <f aca="false">D11*E11*F11*G11*H11*I11*J11*K11*L11*M11*N11*O11*P11*1000</f>
        <v>248.75</v>
      </c>
      <c r="X11" s="4" t="n">
        <f aca="false">V11*Q11*R11</f>
        <v>94.1931037438892</v>
      </c>
      <c r="Y11" s="3" t="n">
        <f aca="false">R11/Q11</f>
        <v>0.401673514261436</v>
      </c>
    </row>
    <row r="12" customFormat="false" ht="15" hidden="false" customHeight="true" outlineLevel="0" collapsed="false">
      <c r="A12" s="20" t="s">
        <v>31</v>
      </c>
      <c r="B12" s="2" t="n">
        <v>0.023025</v>
      </c>
      <c r="C12" s="1" t="n">
        <v>0</v>
      </c>
      <c r="D12" s="3" t="n">
        <v>0.995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0.970937804343659</v>
      </c>
      <c r="R12" s="3" t="n">
        <v>0.47</v>
      </c>
      <c r="S12" s="2" t="n">
        <v>1267.273</v>
      </c>
      <c r="T12" s="2" t="n">
        <f aca="false">Q12*S12</f>
        <v>1230.443264124</v>
      </c>
      <c r="U12" s="5" t="n">
        <f aca="false">AVERAGE(Q12, R12)</f>
        <v>0.72046890217183</v>
      </c>
      <c r="V12" s="4" t="n">
        <f aca="false">D12*E12*F12*G12*H12*I12*J12*K12*L12*M12*N12*O12*P12*1000</f>
        <v>248.75</v>
      </c>
    </row>
    <row r="13" customFormat="false" ht="15" hidden="false" customHeight="true" outlineLevel="0" collapsed="false">
      <c r="A13" s="29" t="s">
        <v>56</v>
      </c>
      <c r="B13" s="2" t="n">
        <v>0.024093</v>
      </c>
      <c r="C13" s="1" t="n">
        <v>0</v>
      </c>
      <c r="D13" s="3" t="n">
        <v>0.99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0.970909543446185</v>
      </c>
      <c r="R13" s="3" t="n">
        <v>0.47</v>
      </c>
      <c r="S13" s="2" t="n">
        <v>1219.984617</v>
      </c>
      <c r="T13" s="2" t="n">
        <f aca="false">Q13*S13</f>
        <v>1184.49470750284</v>
      </c>
      <c r="U13" s="5" t="n">
        <f aca="false">AVERAGE(Q13, R13)</f>
        <v>0.720454771723093</v>
      </c>
      <c r="V13" s="4" t="n">
        <f aca="false">D13*E13*F13*G13*H13*I13*J13*K13*L13*M13*N13*O13*P13*1000</f>
        <v>247.5</v>
      </c>
      <c r="X13" s="4" t="n">
        <f aca="false">V13*Q13*R13</f>
        <v>112.941052641377</v>
      </c>
      <c r="Y13" s="3" t="n">
        <f aca="false">R13/Q13</f>
        <v>0.484082171374857</v>
      </c>
    </row>
    <row r="14" customFormat="false" ht="15" hidden="false" customHeight="true" outlineLevel="0" collapsed="false">
      <c r="A14" s="20" t="s">
        <v>46</v>
      </c>
      <c r="B14" s="2" t="n">
        <v>0.023297</v>
      </c>
      <c r="C14" s="24" t="n">
        <v>0</v>
      </c>
      <c r="D14" s="3" t="n">
        <v>0.99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0.5</v>
      </c>
      <c r="M14" s="4" t="n">
        <v>1</v>
      </c>
      <c r="N14" s="4" t="n">
        <v>1</v>
      </c>
      <c r="O14" s="4" t="n">
        <v>1</v>
      </c>
      <c r="P14" s="4" t="n">
        <v>1</v>
      </c>
      <c r="Q14" s="3" t="n">
        <v>0.970909543446185</v>
      </c>
      <c r="R14" s="3" t="n">
        <v>0.455</v>
      </c>
      <c r="S14" s="2" t="n">
        <v>1216.735306</v>
      </c>
      <c r="T14" s="2" t="n">
        <f aca="false">Q14*S14</f>
        <v>1181.33992044331</v>
      </c>
      <c r="U14" s="5" t="n">
        <f aca="false">AVERAGE(Q14, R14)</f>
        <v>0.712954771723093</v>
      </c>
      <c r="V14" s="4" t="n">
        <f aca="false">D14*E14*F14*G14*H14*I14*J14*K14*L14*M14*N14*O14*P14*1000</f>
        <v>247.5</v>
      </c>
      <c r="X14" s="4" t="n">
        <f aca="false">V14*Q14*R14</f>
        <v>109.336550961334</v>
      </c>
      <c r="Y14" s="3" t="n">
        <f aca="false">R14/Q14</f>
        <v>0.468632740373532</v>
      </c>
    </row>
    <row r="15" customFormat="false" ht="15" hidden="false" customHeight="true" outlineLevel="0" collapsed="false">
      <c r="A15" s="20" t="s">
        <v>48</v>
      </c>
      <c r="B15" s="2" t="n">
        <v>0.026569</v>
      </c>
      <c r="C15" s="1" t="n">
        <v>0</v>
      </c>
      <c r="D15" s="3" t="n">
        <v>1</v>
      </c>
      <c r="E15" s="4" t="n">
        <v>1</v>
      </c>
      <c r="F15" s="4" t="n">
        <v>1</v>
      </c>
      <c r="G15" s="4" t="n">
        <v>0.5</v>
      </c>
      <c r="H15" s="4" t="n">
        <v>1</v>
      </c>
      <c r="I15" s="4" t="n">
        <v>0.5</v>
      </c>
      <c r="J15" s="4" t="n">
        <v>1</v>
      </c>
      <c r="K15" s="4" t="n">
        <v>1</v>
      </c>
      <c r="L15" s="4" t="n">
        <v>0.5</v>
      </c>
      <c r="M15" s="4" t="n">
        <v>1</v>
      </c>
      <c r="N15" s="4" t="n">
        <v>1</v>
      </c>
      <c r="O15" s="4" t="n">
        <v>1</v>
      </c>
      <c r="P15" s="4" t="n">
        <v>1</v>
      </c>
      <c r="Q15" s="3" t="n">
        <v>0.967009539594811</v>
      </c>
      <c r="R15" s="3" t="n">
        <v>0.441</v>
      </c>
      <c r="S15" s="2" t="n">
        <v>1172.064</v>
      </c>
      <c r="T15" s="2" t="n">
        <f aca="false">Q15*S15</f>
        <v>1133.39706901565</v>
      </c>
      <c r="U15" s="5" t="n">
        <f aca="false">AVERAGE(Q15, R15)</f>
        <v>0.704004769797405</v>
      </c>
      <c r="V15" s="4" t="n">
        <f aca="false">D15*E15*F15*G15*H15*I15*J15*K15*L15*M15*N15*O15*P15*1000</f>
        <v>125</v>
      </c>
      <c r="X15" s="4" t="n">
        <f aca="false">V15*Q15*R15</f>
        <v>53.306400870164</v>
      </c>
      <c r="Y15" s="3" t="n">
        <f aca="false">R15/Q15</f>
        <v>0.45604513910461</v>
      </c>
    </row>
    <row r="16" customFormat="false" ht="15" hidden="false" customHeight="true" outlineLevel="0" collapsed="false">
      <c r="A16" s="20" t="s">
        <v>32</v>
      </c>
      <c r="B16" s="2" t="n">
        <v>3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0.5</v>
      </c>
      <c r="H16" s="4" t="n">
        <v>1</v>
      </c>
      <c r="I16" s="4" t="n">
        <v>0.5</v>
      </c>
      <c r="J16" s="4" t="n">
        <v>1</v>
      </c>
      <c r="K16" s="4" t="n">
        <v>1</v>
      </c>
      <c r="L16" s="4" t="n">
        <v>0.5</v>
      </c>
      <c r="M16" s="4" t="n">
        <v>1</v>
      </c>
      <c r="N16" s="4" t="n">
        <v>1</v>
      </c>
      <c r="O16" s="4" t="n">
        <v>1</v>
      </c>
      <c r="P16" s="4" t="n">
        <v>1</v>
      </c>
      <c r="Q16" s="3" t="n">
        <v>0.966981278697337</v>
      </c>
      <c r="R16" s="3" t="n">
        <v>0.331</v>
      </c>
      <c r="S16" s="2" t="n">
        <v>1143.593</v>
      </c>
      <c r="T16" s="2" t="n">
        <f aca="false">Q16*S16</f>
        <v>1105.83302144932</v>
      </c>
      <c r="U16" s="5" t="n">
        <f aca="false">AVERAGE(Q16, R16)</f>
        <v>0.648990639348669</v>
      </c>
      <c r="V16" s="4" t="n">
        <f aca="false">D16*E16*F16*G16*H16*I16*J16*K16*L16*M16*N16*O16*P16*1000</f>
        <v>124.375</v>
      </c>
      <c r="W16" s="2" t="n">
        <v>625</v>
      </c>
      <c r="X16" s="4" t="n">
        <f aca="false">V16*Q16*R16</f>
        <v>39.8088061540718</v>
      </c>
      <c r="Y16" s="3" t="n">
        <f aca="false">R16/Q16</f>
        <v>0.342302387121605</v>
      </c>
    </row>
    <row r="17" customFormat="false" ht="15" hidden="false" customHeight="true" outlineLevel="0" collapsed="false">
      <c r="A17" s="20" t="s">
        <v>33</v>
      </c>
      <c r="B17" s="2" t="n">
        <v>0.024172</v>
      </c>
      <c r="C17" s="1" t="n">
        <v>0</v>
      </c>
      <c r="D17" s="3" t="n">
        <v>0.99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0.5</v>
      </c>
      <c r="J17" s="4" t="n">
        <v>1</v>
      </c>
      <c r="K17" s="4" t="n">
        <v>0.5</v>
      </c>
      <c r="L17" s="4" t="n">
        <v>0.5</v>
      </c>
      <c r="M17" s="4" t="n">
        <v>0.5</v>
      </c>
      <c r="N17" s="4" t="n">
        <v>1</v>
      </c>
      <c r="O17" s="4" t="n">
        <v>1</v>
      </c>
      <c r="P17" s="4" t="n">
        <v>1</v>
      </c>
      <c r="Q17" s="3" t="n">
        <v>0.925919352234368</v>
      </c>
      <c r="R17" s="3" t="n">
        <v>0.424</v>
      </c>
      <c r="S17" s="2" t="n">
        <v>1111.470511</v>
      </c>
      <c r="T17" s="2" t="n">
        <f aca="false">Q17*S17</f>
        <v>1029.13205557272</v>
      </c>
      <c r="U17" s="5" t="n">
        <f aca="false">AVERAGE(Q17, R17)</f>
        <v>0.674959676117184</v>
      </c>
      <c r="V17" s="4" t="n">
        <f aca="false">D17*E17*F17*G17*H17*I17*J17*K17*L17*M17*N17*O17*P17*1000</f>
        <v>61.875</v>
      </c>
      <c r="X17" s="4" t="n">
        <f aca="false">V17*Q17*R17</f>
        <v>24.2914942058686</v>
      </c>
      <c r="Y17" s="3" t="n">
        <f aca="false">R17/Q17</f>
        <v>0.457923251065906</v>
      </c>
    </row>
    <row r="18" customFormat="false" ht="13.8" hidden="false" customHeight="false" outlineLevel="0" collapsed="false">
      <c r="A18" s="20" t="s">
        <v>34</v>
      </c>
      <c r="B18" s="2" t="n">
        <v>0.023905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0.5</v>
      </c>
      <c r="H18" s="4" t="n">
        <v>1</v>
      </c>
      <c r="I18" s="4" t="n">
        <v>1</v>
      </c>
      <c r="J18" s="4" t="n">
        <v>1</v>
      </c>
      <c r="K18" s="4" t="n">
        <v>1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0.713342583564223</v>
      </c>
      <c r="R18" s="3" t="n">
        <v>0.264</v>
      </c>
      <c r="S18" s="2" t="n">
        <v>1104.547427</v>
      </c>
      <c r="T18" s="2" t="n">
        <f aca="false">Q18*S18</f>
        <v>787.920715245395</v>
      </c>
      <c r="U18" s="5" t="n">
        <f aca="false">AVERAGE(Q18, R18)</f>
        <v>0.488671291782112</v>
      </c>
      <c r="V18" s="4" t="n">
        <f aca="false">D18*E18*F18*G18*H18*I18*J18*K18*L18*M18*N18*O18*P18*1000</f>
        <v>125</v>
      </c>
      <c r="W18" s="2" t="n">
        <v>478</v>
      </c>
      <c r="X18" s="4" t="n">
        <f aca="false">V18*Q18*R18</f>
        <v>23.5403052576194</v>
      </c>
      <c r="Y18" s="3" t="n">
        <f aca="false">R18/Q18</f>
        <v>0.370088658777276</v>
      </c>
    </row>
    <row r="19" customFormat="false" ht="15" hidden="false" customHeight="true" outlineLevel="0" collapsed="false">
      <c r="A19" s="20" t="s">
        <v>37</v>
      </c>
      <c r="B19" s="2" t="n">
        <v>0.024989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1</v>
      </c>
      <c r="J19" s="4" t="n">
        <v>1</v>
      </c>
      <c r="K19" s="4" t="n">
        <v>0.5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0.70207145939016</v>
      </c>
      <c r="R19" s="3" t="n">
        <v>0.274</v>
      </c>
      <c r="S19" s="2" t="n">
        <v>1188.985</v>
      </c>
      <c r="T19" s="2" t="n">
        <f aca="false">Q19*S19</f>
        <v>834.752434143009</v>
      </c>
      <c r="U19" s="5" t="n">
        <f aca="false">AVERAGE(Q19, R19)</f>
        <v>0.48803572969508</v>
      </c>
      <c r="V19" s="4" t="n">
        <f aca="false">D19*E19*F19*G19*H19*I19*J19*K19*L19*M19*N19*O19*P19*1000</f>
        <v>124.375</v>
      </c>
      <c r="X19" s="4" t="n">
        <f aca="false">V19*Q19*R19</f>
        <v>23.9257177466924</v>
      </c>
      <c r="Y19" s="3" t="n">
        <f aca="false">R19/Q19</f>
        <v>0.390273662794959</v>
      </c>
    </row>
    <row r="20" customFormat="false" ht="15" hidden="false" customHeight="true" outlineLevel="0" collapsed="false">
      <c r="A20" s="27" t="s">
        <v>38</v>
      </c>
      <c r="B20" s="23" t="n">
        <v>2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0.5</v>
      </c>
      <c r="I20" s="4" t="n">
        <v>1</v>
      </c>
      <c r="J20" s="4" t="n">
        <v>1</v>
      </c>
      <c r="K20" s="4" t="n">
        <v>0.5</v>
      </c>
      <c r="L20" s="4" t="n">
        <v>1</v>
      </c>
      <c r="M20" s="4" t="n">
        <v>1</v>
      </c>
      <c r="N20" s="4" t="n">
        <v>0.5</v>
      </c>
      <c r="O20" s="4" t="n">
        <v>1</v>
      </c>
      <c r="P20" s="4" t="n">
        <v>0.5</v>
      </c>
      <c r="Q20" s="3" t="n">
        <v>0.696532323485309</v>
      </c>
      <c r="R20" s="3" t="n">
        <v>0.251</v>
      </c>
      <c r="S20" s="2" t="n">
        <v>1143.952637</v>
      </c>
      <c r="T20" s="2" t="n">
        <f aca="false">Q20*S20</f>
        <v>796.799988206756</v>
      </c>
      <c r="U20" s="5" t="n">
        <f aca="false">AVERAGE(Q20, R20)</f>
        <v>0.473766161742655</v>
      </c>
      <c r="V20" s="4" t="n">
        <f aca="false">D20*E20*F20*G20*H20*I20*J20*K20*L20*M20*N20*O20*P20*1000</f>
        <v>62.1875</v>
      </c>
      <c r="W20" s="2" t="n">
        <v>554</v>
      </c>
      <c r="X20" s="4" t="n">
        <f aca="false">V20*Q20*R20</f>
        <v>10.8722165705524</v>
      </c>
      <c r="Y20" s="3" t="n">
        <f aca="false">R20/Q20</f>
        <v>0.360356571456793</v>
      </c>
    </row>
    <row r="21" customFormat="false" ht="15" hidden="false" customHeight="true" outlineLevel="0" collapsed="false">
      <c r="A21" s="30" t="s">
        <v>45</v>
      </c>
      <c r="B21" s="2" t="n">
        <v>0.027205</v>
      </c>
      <c r="C21" s="1" t="n">
        <v>0</v>
      </c>
      <c r="D21" s="3" t="n">
        <v>0.995</v>
      </c>
      <c r="E21" s="4" t="n">
        <v>1</v>
      </c>
      <c r="F21" s="4" t="n">
        <v>1</v>
      </c>
      <c r="G21" s="4" t="n">
        <v>1</v>
      </c>
      <c r="H21" s="4" t="n">
        <v>0.5</v>
      </c>
      <c r="I21" s="4" t="n">
        <v>1</v>
      </c>
      <c r="J21" s="4" t="n">
        <v>1</v>
      </c>
      <c r="K21" s="4" t="n">
        <v>0.5</v>
      </c>
      <c r="L21" s="4" t="n">
        <v>1</v>
      </c>
      <c r="M21" s="4" t="n">
        <v>1</v>
      </c>
      <c r="N21" s="4" t="n">
        <v>0.5</v>
      </c>
      <c r="O21" s="4" t="n">
        <v>1</v>
      </c>
      <c r="P21" s="4" t="n">
        <v>0.5</v>
      </c>
      <c r="Q21" s="3" t="n">
        <v>0.696532323485309</v>
      </c>
      <c r="R21" s="3" t="n">
        <v>0.26</v>
      </c>
      <c r="S21" s="2" t="n">
        <v>1149.585506</v>
      </c>
      <c r="T21" s="2" t="n">
        <f aca="false">Q21*S21</f>
        <v>800.723463539215</v>
      </c>
      <c r="U21" s="5" t="n">
        <f aca="false">AVERAGE(Q21, R21)</f>
        <v>0.478266161742655</v>
      </c>
      <c r="V21" s="4" t="n">
        <f aca="false">D21*E21*F21*G21*H21*I21*J21*K21*L21*M21*N21*O21*P21*1000</f>
        <v>62.1875</v>
      </c>
      <c r="X21" s="4" t="n">
        <f aca="false">V21*Q21*R21</f>
        <v>11.2620570053531</v>
      </c>
      <c r="Y21" s="3" t="n">
        <f aca="false">R21/Q21</f>
        <v>0.37327772342138</v>
      </c>
    </row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1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24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7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6:V7 U5 V1:V5 V8:V1048576">
    <cfRule type="cellIs" priority="11" operator="greaterThan" aboveAverage="0" equalAverage="0" bottom="0" percent="0" rank="0" text="" dxfId="17">
      <formula>0</formula>
    </cfRule>
  </conditionalFormatting>
  <conditionalFormatting sqref="V5:V7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36042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2026-04-22T07:50:20Z</dcterms:modified>
  <cp:revision>409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